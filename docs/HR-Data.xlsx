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General\3 - HR\"/>
    </mc:Choice>
  </mc:AlternateContent>
  <xr:revisionPtr revIDLastSave="0" documentId="13_ncr:1_{BF512688-A686-4020-8561-F9ADF72A68E1}" xr6:coauthVersionLast="47" xr6:coauthVersionMax="47" xr10:uidLastSave="{00000000-0000-0000-0000-000000000000}"/>
  <bookViews>
    <workbookView xWindow="57480" yWindow="-120" windowWidth="29040" windowHeight="15720" xr2:uid="{EF64394A-B80A-462C-8DA8-7ED448D32C6F}"/>
  </bookViews>
  <sheets>
    <sheet name="RADWA" sheetId="3"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0" i="3" l="1"/>
  <c r="J9" i="3" s="1"/>
  <c r="O10" i="3"/>
  <c r="J8" i="3" s="1"/>
  <c r="N10" i="3"/>
  <c r="M10" i="3"/>
  <c r="J6" i="3" s="1"/>
  <c r="G9" i="3"/>
  <c r="G8" i="3"/>
  <c r="B8" i="3"/>
  <c r="R8" i="3" s="1"/>
  <c r="J7" i="3"/>
  <c r="G7" i="3"/>
  <c r="G6" i="3"/>
  <c r="G5" i="3"/>
  <c r="G10" i="3" s="1"/>
  <c r="B5" i="3"/>
  <c r="R7" i="3" s="1"/>
  <c r="J4" i="3"/>
  <c r="D4" i="3"/>
  <c r="S7" i="3" s="1"/>
  <c r="D8" i="3" s="1"/>
  <c r="J10" i="3" l="1"/>
  <c r="R9" i="3"/>
  <c r="D5" i="3"/>
  <c r="V42" i="3" l="1"/>
  <c r="R42" i="3" s="1"/>
  <c r="T42" i="3"/>
  <c r="S42" i="3"/>
  <c r="J42" i="3"/>
  <c r="G42" i="3"/>
  <c r="C42" i="3"/>
  <c r="V41" i="3"/>
  <c r="R41" i="3" s="1"/>
  <c r="T41" i="3"/>
  <c r="S41" i="3"/>
  <c r="J41" i="3"/>
  <c r="G41" i="3"/>
  <c r="C41" i="3"/>
  <c r="V40" i="3"/>
  <c r="R40" i="3" s="1"/>
  <c r="T40" i="3"/>
  <c r="S40" i="3"/>
  <c r="J40" i="3"/>
  <c r="G40" i="3"/>
  <c r="C40" i="3"/>
  <c r="V39" i="3"/>
  <c r="R39" i="3" s="1"/>
  <c r="T39" i="3"/>
  <c r="S39" i="3"/>
  <c r="J39" i="3"/>
  <c r="G39" i="3"/>
  <c r="C39" i="3"/>
  <c r="V38" i="3"/>
  <c r="R38" i="3" s="1"/>
  <c r="T38" i="3"/>
  <c r="S38" i="3"/>
  <c r="J38" i="3"/>
  <c r="G38" i="3"/>
  <c r="C38" i="3"/>
  <c r="V37" i="3"/>
  <c r="R37" i="3" s="1"/>
  <c r="T37" i="3"/>
  <c r="S37" i="3"/>
  <c r="J37" i="3"/>
  <c r="G37" i="3"/>
  <c r="C37" i="3"/>
  <c r="V36" i="3"/>
  <c r="R36" i="3" s="1"/>
  <c r="T36" i="3"/>
  <c r="S36" i="3"/>
  <c r="J36" i="3"/>
  <c r="G36" i="3"/>
  <c r="C36" i="3"/>
  <c r="V35" i="3"/>
  <c r="R35" i="3" s="1"/>
  <c r="T35" i="3"/>
  <c r="S35" i="3"/>
  <c r="J35" i="3"/>
  <c r="G35" i="3"/>
  <c r="C35" i="3"/>
  <c r="V34" i="3"/>
  <c r="R34" i="3" s="1"/>
  <c r="T34" i="3"/>
  <c r="S34" i="3"/>
  <c r="J34" i="3"/>
  <c r="G34" i="3"/>
  <c r="C34" i="3"/>
  <c r="V33" i="3"/>
  <c r="R33" i="3" s="1"/>
  <c r="T33" i="3"/>
  <c r="S33" i="3"/>
  <c r="J33" i="3"/>
  <c r="G33" i="3"/>
  <c r="C33" i="3"/>
  <c r="V32" i="3"/>
  <c r="R32" i="3" s="1"/>
  <c r="T32" i="3"/>
  <c r="S32" i="3"/>
  <c r="J32" i="3"/>
  <c r="G32" i="3"/>
  <c r="C32" i="3"/>
  <c r="V31" i="3"/>
  <c r="R31" i="3" s="1"/>
  <c r="T31" i="3"/>
  <c r="S31" i="3"/>
  <c r="J31" i="3"/>
  <c r="G31" i="3"/>
  <c r="C31" i="3"/>
  <c r="V30" i="3"/>
  <c r="R30" i="3" s="1"/>
  <c r="T30" i="3"/>
  <c r="S30" i="3"/>
  <c r="J30" i="3"/>
  <c r="G30" i="3"/>
  <c r="C30" i="3"/>
  <c r="V29" i="3"/>
  <c r="R29" i="3" s="1"/>
  <c r="T29" i="3"/>
  <c r="S29" i="3"/>
  <c r="J29" i="3"/>
  <c r="G29" i="3"/>
  <c r="C29" i="3"/>
  <c r="V28" i="3"/>
  <c r="R28" i="3" s="1"/>
  <c r="T28" i="3"/>
  <c r="S28" i="3"/>
  <c r="J28" i="3"/>
  <c r="G28" i="3"/>
  <c r="C28" i="3"/>
  <c r="V27" i="3"/>
  <c r="R27" i="3" s="1"/>
  <c r="T27" i="3"/>
  <c r="S27" i="3"/>
  <c r="J27" i="3"/>
  <c r="G27" i="3"/>
  <c r="C27" i="3"/>
  <c r="V26" i="3"/>
  <c r="R26" i="3" s="1"/>
  <c r="T26" i="3"/>
  <c r="S26" i="3"/>
  <c r="J26" i="3"/>
  <c r="G26" i="3"/>
  <c r="C26" i="3"/>
  <c r="V25" i="3"/>
  <c r="R25" i="3" s="1"/>
  <c r="T25" i="3"/>
  <c r="S25" i="3"/>
  <c r="J25" i="3"/>
  <c r="G25" i="3"/>
  <c r="C25" i="3"/>
  <c r="V24" i="3"/>
  <c r="R24" i="3" s="1"/>
  <c r="T24" i="3"/>
  <c r="S24" i="3"/>
  <c r="J24" i="3"/>
  <c r="G24" i="3"/>
  <c r="C24" i="3"/>
  <c r="V23" i="3"/>
  <c r="R23" i="3" s="1"/>
  <c r="T23" i="3"/>
  <c r="S23" i="3"/>
  <c r="J23" i="3"/>
  <c r="G23" i="3"/>
  <c r="C23" i="3"/>
  <c r="V22" i="3"/>
  <c r="R22" i="3" s="1"/>
  <c r="T22" i="3"/>
  <c r="S22" i="3"/>
  <c r="J22" i="3"/>
  <c r="G22" i="3"/>
  <c r="C22" i="3"/>
  <c r="V21" i="3"/>
  <c r="R21" i="3" s="1"/>
  <c r="T21" i="3"/>
  <c r="S21" i="3"/>
  <c r="J21" i="3"/>
  <c r="G21" i="3"/>
  <c r="C21" i="3"/>
  <c r="V20" i="3"/>
  <c r="R20" i="3" s="1"/>
  <c r="G20" i="3" s="1"/>
  <c r="T20" i="3"/>
  <c r="J20" i="3" s="1"/>
  <c r="S20" i="3"/>
  <c r="C20" i="3"/>
  <c r="V19" i="3"/>
  <c r="R19" i="3" s="1"/>
  <c r="T19" i="3"/>
  <c r="S19" i="3"/>
  <c r="J19" i="3"/>
  <c r="G19" i="3"/>
  <c r="C19" i="3"/>
  <c r="V18" i="3"/>
  <c r="R18" i="3" s="1"/>
  <c r="G18" i="3" s="1"/>
  <c r="T18" i="3"/>
  <c r="J18" i="3" s="1"/>
  <c r="S18" i="3"/>
  <c r="C18" i="3"/>
  <c r="V17" i="3"/>
  <c r="R17" i="3" s="1"/>
  <c r="G17" i="3" s="1"/>
  <c r="T17" i="3"/>
  <c r="S17" i="3"/>
  <c r="J17" i="3"/>
  <c r="C17" i="3"/>
  <c r="V16" i="3"/>
  <c r="R16" i="3" s="1"/>
  <c r="G16" i="3" s="1"/>
  <c r="T16" i="3"/>
  <c r="S16" i="3"/>
  <c r="J16" i="3"/>
  <c r="C16" i="3"/>
  <c r="V15" i="3"/>
  <c r="R15" i="3" s="1"/>
  <c r="G15" i="3" s="1"/>
  <c r="T15" i="3"/>
  <c r="J15" i="3" s="1"/>
  <c r="S15" i="3"/>
  <c r="C15" i="3"/>
  <c r="V14" i="3"/>
  <c r="R14" i="3" s="1"/>
  <c r="G14" i="3" s="1"/>
  <c r="T14" i="3"/>
  <c r="J14" i="3" s="1"/>
  <c r="S14" i="3"/>
  <c r="C14" i="3"/>
  <c r="V13" i="3"/>
  <c r="R13" i="3" s="1"/>
  <c r="G13" i="3" s="1"/>
  <c r="T13" i="3"/>
  <c r="J13" i="3" s="1"/>
  <c r="S13" i="3"/>
  <c r="C13" i="3"/>
  <c r="V12" i="3"/>
  <c r="R12" i="3" s="1"/>
  <c r="T12" i="3"/>
  <c r="S12" i="3"/>
  <c r="J12" i="3"/>
  <c r="G12" i="3"/>
  <c r="C12" i="3"/>
  <c r="A12" i="3"/>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6" i="3" l="1"/>
  <c r="C7" i="3" s="1"/>
  <c r="D9" i="3"/>
  <c r="C10" i="3" s="1"/>
  <c r="A37" i="3"/>
  <c r="A39" i="3" s="1"/>
  <c r="A41" i="3" s="1"/>
  <c r="A38" i="3"/>
  <c r="A40" i="3" s="1"/>
  <c r="A42" i="3" s="1"/>
</calcChain>
</file>

<file path=xl/sharedStrings.xml><?xml version="1.0" encoding="utf-8"?>
<sst xmlns="http://schemas.openxmlformats.org/spreadsheetml/2006/main" count="89" uniqueCount="47">
  <si>
    <t>Name</t>
  </si>
  <si>
    <t>Full time</t>
  </si>
  <si>
    <t>Online 1/2 day</t>
  </si>
  <si>
    <t>Online 1 day</t>
  </si>
  <si>
    <t>Customer Care</t>
  </si>
  <si>
    <t>Clock In-AM</t>
  </si>
  <si>
    <t>Clock Out-PM</t>
  </si>
  <si>
    <t>WORKING TIME</t>
  </si>
  <si>
    <t>modify TIME</t>
  </si>
  <si>
    <t>Total</t>
  </si>
  <si>
    <t>Online</t>
  </si>
  <si>
    <t>Date</t>
  </si>
  <si>
    <t>Start</t>
  </si>
  <si>
    <t>End</t>
  </si>
  <si>
    <t>Reports</t>
  </si>
  <si>
    <t>Clock Out</t>
  </si>
  <si>
    <t>يوم راحة</t>
  </si>
  <si>
    <t>غياب بدون إذن</t>
  </si>
  <si>
    <t>إجازة</t>
  </si>
  <si>
    <t>إجازة رسمية</t>
  </si>
  <si>
    <t>اساسي</t>
  </si>
  <si>
    <t>فعلي</t>
  </si>
  <si>
    <t>خصم</t>
  </si>
  <si>
    <t>التقييم</t>
  </si>
  <si>
    <t>تقيم التيم ليدر</t>
  </si>
  <si>
    <t>الاداء</t>
  </si>
  <si>
    <t>الانتاج</t>
  </si>
  <si>
    <t>السلوك</t>
  </si>
  <si>
    <t>مستوى الأداء</t>
  </si>
  <si>
    <t>مستوى الانتاج</t>
  </si>
  <si>
    <t>الحضور</t>
  </si>
  <si>
    <t>التقييم الكلي</t>
  </si>
  <si>
    <t>werk</t>
  </si>
  <si>
    <t>2/8/2025
Radwa
تم تفعيل 1 اوردر لجنرال وهندله ميعاد لاستلام احمد فيستا غدا 
تم ارسال  30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تم متابعه جروب ال vip وجروب ملاحظات المستر ومراجعه جروبات التوصيل 
تم متابعه عمر في الاستلام والتسليم في كل اوردر
والتركيز ع ملاحظات تم وردها في الجروب
تم محادثه العملاء الممتنعين ع الدفع ومنهم من استجاب بالدفع او التحصيل كاش 
تم متابعه ايمان وارسال ملاحظات خاصه بالفواتير 
تم ارسال الفواتير  الكاش لعمر وارسال الكاش المحصل لجروب الكاش
تم متابعه عميله لافيلا المرسله من مستر محمد وفي انتظار رد ايضا منها
تم هندله الشيت لليوم وعمل ايضا الخاص بالامس 
تم ارسال مشاكل الغسيل للفندق 
تم متابعه ملك في سير عمل اليوم</t>
  </si>
  <si>
    <t>3/8/2025
Radwa
تم تفعيل 1 اوردر لجنرال
وتم متابعه منصه كينج وتفعيل اوردر
تم ارسال  50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وارسال الملاحظات بالاخطاء الموجوده
تم متابعه جروب ال vip وجروب ملاحظات المستر ومراجعه جروبات التوصيل
تم متابعه عمر في الاستلام والتسليم في كل اوردر
والتركيز ع ملاحظات تم وردها في الجروب
تم محادثه العملاء الممتنعين ع الدفع ومنهم من استجاب بالدفع او التحصيل كاش 
تم متابعه ايمان وارسال ملاحظات خاصه بالفواتير 
تم ارسال الفواتير  الكاش لعمر وارسال الكاش المحصل لجروب الكاش
تم النقاش مع مستر محمد عن جوده العمل خلال هذه الفتره
تم هندله الشيت لليوم 
تم ارسال مشاكل الغسيل للعملاء 
تم متابعه ملك في سير عمل اليوم
تم ارسال ملاحظه راج للسائق 
الخاص بفيلا ٩١ 
تم هندله الوقت بين السائق والعميل والحمد لله تم الاستلام 
تم محادثه عملاء منقطعه ومنهم صالونات مثل الاناقه والامبراطو</t>
  </si>
  <si>
    <t>4/8/2025
Radwa
تم تفعيل 2 اوردر لجنرال 
وتم متابعه منصه كينج والرد عليها
تم ارسال  100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وارسال الملاحظات بالاخطاء الموجوده
تم متابعه جروب ال vip وجروب ملاحظات المستر ومراجعه جروبات التوصيل 
تم متابعه عمر في الاستلام والتسليم في كل اوردر
والتركيز ع ملاحظات تم وردها في الجروب
تم محادثه العملاء الممتنعين ع الدفع ومنهم من استجاب بالدفع او التحصيل كاش 
تم متابعه ايمان وارسال ملاحظات خاصه بالفواتير 
تم ارسال الفواتير  الكاش لعمر 
تم هندله الشيت لليوم 
تم متابعه ملك في سير عمل اليوم
تم محادثه عملاء منقطعه ومنهم صالون جينتس وتم رد عميل باخد البرايس ليست وقال لما يعوز هيكلمني
تم عرض عينه مجانيه ع لافيلا بانيا وبالفعل استجابت وتم الاستلام 
تم متابعه صالون ميدوري و٢٩٠٦ وتم الرد عليهم</t>
  </si>
  <si>
    <t>5/8/2025
Radwa
تم تفعيل 10 اوردر لجنرال 
وتم متابعه منصه كينج والرد عليها وتم تفعيل 6 اوردرات  
تم ارسال  30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وارسال الملاحظات بالاخطاء الموجوده
تم متابعه جروب ال vip وجروب ملاحظات المستر ومراجعه جروبات التوصيل 
تم متابعه عمر في الاستلام والتسليم في كل اوردر
والتركيز ع ملاحظات تم وردها في الجروب
تم محادثه العملاء الممتنعين ع الدفع ومنهم من استجاب بالدفع او التحصيل كاش 
تم متابعه ايمان وارسال ملاحظات خاصه بالفواتير 
تم ارسال الفواتير  الكاش لعمر 
تم هندله الشيت لليوم 
تم متابعه ملك في سير عمل اليوم
تم اخذ فيد باك مبهج من ارمونيا سبا عن مستوي الخدمه 
تم عمل الجرد وارساله ف جروبي الجرد والتقفيل 
تم عمل الاوردرات الصباحيه لعمر وارسال ملاحظات عليها 
تم انشاء جروب للمنتجع ومحادثه العميله برايفت لتعريفها به 
تم متابعه الصالونات</t>
  </si>
  <si>
    <t>6/8/2025
Radwa
تم تفعيل 10 اوردر لجنرال 
وتم متابعه منصه كينج والرد عليها وتم تفعيل 4 اوردرات  
تم ارسال  30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وارسال الملاحظات بالاخطاء الموجوده لعميل بتغيرر الخدمه زمحاولات لهندله الامر
تم متابعه جروب ال vip وجروب ملاحظات المستر ومراجعه جروبات التوصيل وجروبات المغسله الجديده
تم متابعه سائقي ةلمغسلتين  في الاستلام والتسليم في كل اوردر
والتركيز ع ملاحظات تم وردها في الجروب
تم محادثه العملاء الممتنعين ع الدفع ومنهم من استجاب بالدفع 
تم ارسال عمر لايمي للتحصيل كاش
تم متابعه ايمان وارسال ملاحظات خاصه بالفواتير 
تم ارسال الفواتير  الكاش لعمر  
تم متابعه ملك في سير عمل اليوم
تم متابعه لا فيلا بانيا 
تم عمل الجرد وارساله ف جروبي الجرد والتقفيل وجروب المغسلتين
تم عمل الاوردرات الصباحيه لعمر 
تم متابعه الصالونات</t>
  </si>
  <si>
    <t>7/8/2025
Radwa
تم تفعيل 8 اوردر لجنرال 
وتم متابعه منصه كينج والرد عليها وتم تفعيل 3 اوردرات  
تم ارسال  65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وارسال الملاحظات بالاخطاء الموجوده لعميل بتغيرر ونقص اسماء العملاء زمحاولات لهندله الامر
تم متابعه جروب ال vip وجروب ملاحظات المستر ومراجعه جروبات التوصيل وجروبات المغسله الجديده
تم متابعه سائقي ةلمغسلتين  في الاستلام والتسليم في كل اوردر
والتركيز ع ملاحظات تم وردها في الجروب
تم محادثه العملاء الممتنعين ع الدفع ومنهم من استجاب بالدفع 
تم ارسال الفواتير  الكاش لعمر  
تم متابعه ملك في سير عمل اليوم
تم متابعه لا فيلا بانيا 
تم عمل الجرد وارساله ف جروبي الجرد والتقفيل وجروب المغسلتين
تم عمل الاوردرات الصباحيه لعمر 
تم متابعه الصالونات</t>
  </si>
  <si>
    <t>9/8/2025
*Radwa*
تم تفعيل 6 اوردر لجنرال 
وتم متابعه منصه كينج والرد عليها وتم تفعيل  3 اوردرات  
تم ارسال  30 رساله ترويجيه  
 غير السؤال لبعض العملاء 
تم وضع الاوردرات في المنصه وعملها علي الابلكيشن ووضعها في الجروب  
تم تحديث الاستوري  
تم مراجعه الجروبات قبل العمل 
تم مراجعه الدفتر
تم متابعه جروب ال vip وجروب ملاحظات المستر ومراجعه جروبات التوصيل وجروبات المغسله الجديده
تم متابعه سائقي ةلمغسلتين  في الاستلام والتسليم في كل اوردر
والتركيز ع ملاحظات تم وردها في الجروب
تم محادثه العملاء الممتنعين ع الدفع ومنهم من استجاب بالدفع 
تم ارسال الفواتير  الكاش لعمر  
تم متابعه ملك في سير عمل اليوم
تم متابعه لا فيلا بانيا وارسال العقد لتفحصه
تم عمل الجرد لكينج وارساله ف جروبي الجرد والتقفيل 
وتم عمل جرد مغسله مارت وارساله في جروبي الجرد وملاحظات المغسله
تم مراجعه عامه ع كل الشغل ف يوم الاجازه وارسال الملاحظات 
تم عمل الاوردرات الصباحيه لعمر 
تم متابعه الصالونات وارسال ملاحظات لصدام عن وضع الاوردرات الفندق
تم طلب فيدباك من ثالون بالوما وشاين ستار عن الجوده ةمعرفه كواليتي مارت</t>
  </si>
  <si>
    <t>استلمت أول أوردر جديد من منتجع مارجريتا وتابعت الامر
أدارت جميع أوردرات عمر بكفاءة ومتابعة قوية.
مستمرة في التنظيم اليومي والتفاعل مع الجروبات.</t>
  </si>
  <si>
    <t>فعلت أوردر اليوم. الإنتاجية قليلة جدا اليوم
كانت متابعة جيدة مع عمر ومع جروبات الشغل</t>
  </si>
  <si>
    <t>قامت بتفعيل أوردر واحد لعميل.
تابعت عمر بشكل ممتاز وساعدت في التنسيق معه خلال اليوم. وسرعت عملية الاستلام والتسليم</t>
  </si>
  <si>
    <t>اداء ممتاز لا يوجد اى اخطاء اليوم ومتابعة جيدة وانتاجية جيدة</t>
  </si>
  <si>
    <t>غياب بإذن</t>
  </si>
  <si>
    <t>عدد الايام</t>
  </si>
  <si>
    <t>RADWA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</si>
</sst>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numFmts>
  <fonts count="19" x14ac:knownFonts="1">
    <font>
      <sz val="11"/>
      <color theme="1"/>
      <name val="Calibri"/>
      <family val="2"/>
      <charset val="178"/>
      <scheme val="minor"/>
    </font>
    <font>
      <b/>
      <sz val="14"/>
      <color theme="1"/>
      <name val="Arial"/>
      <family val="2"/>
    </font>
    <font>
      <b/>
      <sz val="10"/>
      <color rgb="FF000000"/>
      <name val="Arial"/>
      <family val="2"/>
    </font>
    <font>
      <b/>
      <sz val="10"/>
      <color theme="1"/>
      <name val="Arial"/>
      <family val="2"/>
    </font>
    <font>
      <b/>
      <sz val="10"/>
      <name val="Arial"/>
      <family val="2"/>
    </font>
    <font>
      <sz val="10"/>
      <color rgb="FF000000"/>
      <name val="Arial"/>
      <family val="2"/>
    </font>
    <font>
      <b/>
      <sz val="10"/>
      <color rgb="FFFF0000"/>
      <name val="Arial"/>
      <family val="2"/>
    </font>
    <font>
      <sz val="11"/>
      <color theme="1"/>
      <name val="Calibri"/>
      <family val="2"/>
      <scheme val="minor"/>
    </font>
    <font>
      <b/>
      <sz val="11"/>
      <color indexed="8"/>
      <name val="Calibri"/>
      <family val="2"/>
      <scheme val="minor"/>
    </font>
    <font>
      <b/>
      <sz val="12"/>
      <color rgb="FF000000"/>
      <name val="Arial"/>
      <family val="2"/>
    </font>
    <font>
      <b/>
      <sz val="12"/>
      <color theme="1"/>
      <name val="Arial"/>
      <family val="2"/>
    </font>
    <font>
      <sz val="12"/>
      <color theme="1"/>
      <name val="Calibri"/>
      <family val="2"/>
      <scheme val="minor"/>
    </font>
    <font>
      <sz val="11"/>
      <color theme="1"/>
      <name val="Calibri"/>
      <family val="2"/>
      <charset val="178"/>
      <scheme val="minor"/>
    </font>
    <font>
      <b/>
      <sz val="11"/>
      <color theme="1"/>
      <name val="Arial"/>
      <family val="2"/>
    </font>
    <font>
      <b/>
      <sz val="11"/>
      <color rgb="FF000000"/>
      <name val="Arial"/>
      <family val="2"/>
    </font>
    <font>
      <b/>
      <sz val="11"/>
      <color theme="1"/>
      <name val="Calibri"/>
      <family val="2"/>
      <scheme val="minor"/>
    </font>
    <font>
      <b/>
      <sz val="11"/>
      <color theme="0"/>
      <name val="Arial"/>
      <family val="2"/>
    </font>
    <font>
      <b/>
      <sz val="12"/>
      <color theme="0"/>
      <name val="Arial"/>
      <family val="2"/>
    </font>
    <font>
      <b/>
      <sz val="18"/>
      <color indexed="8"/>
      <name val="Calibri"/>
      <family val="2"/>
      <scheme val="minor"/>
    </font>
  </fonts>
  <fills count="9">
    <fill>
      <patternFill patternType="none"/>
    </fill>
    <fill>
      <patternFill patternType="gray125"/>
    </fill>
    <fill>
      <patternFill patternType="solid">
        <fgColor rgb="FFFFFF00"/>
        <bgColor indexed="64"/>
      </patternFill>
    </fill>
    <fill>
      <gradientFill type="path" left="0.5" right="0.5" top="0.5" bottom="0.5">
        <stop position="0">
          <color theme="0"/>
        </stop>
        <stop position="1">
          <color rgb="FFFFC000"/>
        </stop>
      </gradientFill>
    </fill>
    <fill>
      <gradientFill type="path" left="0.5" right="0.5" top="0.5" bottom="0.5">
        <stop position="0">
          <color theme="0"/>
        </stop>
        <stop position="1">
          <color theme="4"/>
        </stop>
      </gradientFill>
    </fill>
    <fill>
      <gradientFill type="path" left="0.5" right="0.5" top="0.5" bottom="0.5">
        <stop position="0">
          <color theme="0"/>
        </stop>
        <stop position="1">
          <color theme="9"/>
        </stop>
      </gradientFill>
    </fill>
    <fill>
      <patternFill patternType="solid">
        <fgColor theme="0"/>
        <bgColor indexed="64"/>
      </patternFill>
    </fill>
    <fill>
      <patternFill patternType="solid">
        <fgColor rgb="FF92D050"/>
        <bgColor indexed="64"/>
      </patternFill>
    </fill>
    <fill>
      <patternFill patternType="solid">
        <fgColor rgb="FF63C384"/>
        <bgColor indexed="64"/>
      </patternFill>
    </fill>
  </fills>
  <borders count="9">
    <border>
      <left/>
      <right/>
      <top/>
      <bottom/>
      <diagonal/>
    </border>
    <border>
      <left style="double">
        <color auto="1"/>
      </left>
      <right style="double">
        <color auto="1"/>
      </right>
      <top style="double">
        <color auto="1"/>
      </top>
      <bottom style="double">
        <color auto="1"/>
      </bottom>
      <diagonal/>
    </border>
    <border>
      <left style="double">
        <color rgb="FF000000"/>
      </left>
      <right style="double">
        <color rgb="FF000000"/>
      </right>
      <top style="double">
        <color rgb="FF000000"/>
      </top>
      <bottom style="double">
        <color rgb="FF000000"/>
      </bottom>
      <diagonal/>
    </border>
    <border>
      <left style="double">
        <color auto="1"/>
      </left>
      <right style="double">
        <color auto="1"/>
      </right>
      <top style="double">
        <color auto="1"/>
      </top>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double">
        <color rgb="FF000000"/>
      </left>
      <right style="double">
        <color rgb="FF000000"/>
      </right>
      <top style="double">
        <color rgb="FF000000"/>
      </top>
      <bottom/>
      <diagonal/>
    </border>
    <border>
      <left style="thin">
        <color indexed="64"/>
      </left>
      <right style="thin">
        <color indexed="64"/>
      </right>
      <top style="thin">
        <color indexed="64"/>
      </top>
      <bottom style="thin">
        <color indexed="64"/>
      </bottom>
      <diagonal/>
    </border>
    <border>
      <left style="double">
        <color auto="1"/>
      </left>
      <right style="double">
        <color auto="1"/>
      </right>
      <top/>
      <bottom style="double">
        <color auto="1"/>
      </bottom>
      <diagonal/>
    </border>
  </borders>
  <cellStyleXfs count="4">
    <xf numFmtId="0" fontId="0" fillId="0" borderId="0"/>
    <xf numFmtId="0" fontId="5" fillId="0" borderId="0"/>
    <xf numFmtId="0" fontId="7" fillId="0" borderId="0"/>
    <xf numFmtId="9" fontId="12" fillId="0" borderId="0" applyFont="0" applyFill="0" applyBorder="0" applyAlignment="0" applyProtection="0"/>
  </cellStyleXfs>
  <cellXfs count="7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pplyProtection="1">
      <alignment horizontal="center" vertical="center"/>
      <protection hidden="1"/>
    </xf>
    <xf numFmtId="20" fontId="3" fillId="0" borderId="0" xfId="0" applyNumberFormat="1" applyFont="1" applyAlignment="1" applyProtection="1">
      <alignment horizontal="center" vertical="center"/>
      <protection hidden="1"/>
    </xf>
    <xf numFmtId="20" fontId="3" fillId="0" borderId="0" xfId="0" applyNumberFormat="1" applyFont="1" applyAlignment="1">
      <alignment horizontal="center" vertical="center"/>
    </xf>
    <xf numFmtId="0" fontId="3" fillId="0" borderId="0" xfId="0" applyFont="1" applyAlignment="1">
      <alignment horizontal="center" vertical="center"/>
    </xf>
    <xf numFmtId="0" fontId="3" fillId="0" borderId="2" xfId="0" applyFont="1" applyBorder="1" applyAlignment="1" applyProtection="1">
      <alignment horizontal="center" vertical="center"/>
      <protection hidden="1"/>
    </xf>
    <xf numFmtId="0" fontId="3"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hidden="1"/>
    </xf>
    <xf numFmtId="164" fontId="4" fillId="0" borderId="2" xfId="0" applyNumberFormat="1" applyFont="1" applyBorder="1" applyAlignment="1" applyProtection="1">
      <alignment horizontal="center" vertical="center" wrapText="1"/>
      <protection hidden="1"/>
    </xf>
    <xf numFmtId="14" fontId="4" fillId="0" borderId="2" xfId="0" applyNumberFormat="1" applyFont="1" applyBorder="1" applyAlignment="1" applyProtection="1">
      <alignment horizontal="center" vertical="center"/>
      <protection locked="0"/>
    </xf>
    <xf numFmtId="20" fontId="4" fillId="0" borderId="2" xfId="0" applyNumberFormat="1" applyFont="1" applyBorder="1" applyAlignment="1" applyProtection="1">
      <alignment horizontal="center" vertical="center"/>
      <protection locked="0"/>
    </xf>
    <xf numFmtId="20" fontId="3" fillId="0" borderId="2" xfId="0" applyNumberFormat="1" applyFont="1" applyBorder="1" applyAlignment="1" applyProtection="1">
      <alignment horizontal="center" vertical="center"/>
      <protection hidden="1"/>
    </xf>
    <xf numFmtId="20" fontId="3" fillId="0" borderId="2" xfId="0" applyNumberFormat="1" applyFont="1" applyBorder="1" applyAlignment="1" applyProtection="1">
      <alignment horizontal="center" vertical="center"/>
      <protection locked="0"/>
    </xf>
    <xf numFmtId="20" fontId="4" fillId="0" borderId="2" xfId="0" applyNumberFormat="1" applyFont="1" applyBorder="1" applyAlignment="1" applyProtection="1">
      <alignment horizontal="center" vertical="center"/>
      <protection hidden="1"/>
    </xf>
    <xf numFmtId="0" fontId="4" fillId="0" borderId="2" xfId="0" applyFont="1" applyBorder="1" applyAlignment="1" applyProtection="1">
      <alignment horizontal="center" vertical="center"/>
      <protection locked="0"/>
    </xf>
    <xf numFmtId="20" fontId="6" fillId="0" borderId="2" xfId="0" applyNumberFormat="1" applyFont="1" applyBorder="1" applyAlignment="1" applyProtection="1">
      <alignment horizontal="center" vertical="center"/>
      <protection hidden="1"/>
    </xf>
    <xf numFmtId="20" fontId="4" fillId="0" borderId="0" xfId="0" applyNumberFormat="1" applyFont="1" applyAlignment="1">
      <alignment horizontal="center" vertical="center"/>
    </xf>
    <xf numFmtId="0" fontId="4" fillId="0" borderId="2" xfId="0" applyFont="1" applyBorder="1" applyAlignment="1" applyProtection="1">
      <alignment horizontal="center" vertical="center" wrapText="1"/>
      <protection locked="0"/>
    </xf>
    <xf numFmtId="0" fontId="9" fillId="0" borderId="0" xfId="0" applyFont="1" applyAlignment="1">
      <alignment horizontal="center" vertical="center"/>
    </xf>
    <xf numFmtId="20" fontId="10" fillId="0" borderId="0" xfId="0" applyNumberFormat="1" applyFont="1" applyAlignment="1" applyProtection="1">
      <alignment horizontal="center" vertical="center"/>
      <protection hidden="1"/>
    </xf>
    <xf numFmtId="0" fontId="10" fillId="2" borderId="0" xfId="0" applyFont="1" applyFill="1" applyAlignment="1" applyProtection="1">
      <alignment horizontal="center" vertical="center"/>
      <protection hidden="1"/>
    </xf>
    <xf numFmtId="0" fontId="11" fillId="0" borderId="0" xfId="0" applyFont="1"/>
    <xf numFmtId="20" fontId="3" fillId="6" borderId="2" xfId="0" applyNumberFormat="1" applyFont="1" applyFill="1" applyBorder="1" applyAlignment="1" applyProtection="1">
      <alignment horizontal="center" vertical="center"/>
      <protection locked="0"/>
    </xf>
    <xf numFmtId="0" fontId="4" fillId="6" borderId="2" xfId="0" applyFont="1" applyFill="1" applyBorder="1" applyAlignment="1" applyProtection="1">
      <alignment horizontal="center" vertical="center"/>
      <protection locked="0"/>
    </xf>
    <xf numFmtId="0" fontId="4" fillId="0" borderId="0" xfId="0" applyFont="1" applyAlignment="1" applyProtection="1">
      <alignment horizontal="center" vertical="center"/>
      <protection hidden="1"/>
    </xf>
    <xf numFmtId="20" fontId="13" fillId="0" borderId="0" xfId="0" applyNumberFormat="1" applyFont="1" applyAlignment="1" applyProtection="1">
      <alignment horizontal="center" vertical="center"/>
      <protection hidden="1"/>
    </xf>
    <xf numFmtId="1" fontId="13" fillId="0" borderId="0" xfId="0" applyNumberFormat="1" applyFont="1" applyAlignment="1" applyProtection="1">
      <alignment horizontal="center" vertical="center" wrapText="1"/>
      <protection hidden="1"/>
    </xf>
    <xf numFmtId="0" fontId="14" fillId="0" borderId="0" xfId="0" applyFont="1" applyAlignment="1">
      <alignment horizontal="center" vertical="center"/>
    </xf>
    <xf numFmtId="0" fontId="7" fillId="0" borderId="0" xfId="0" applyFont="1"/>
    <xf numFmtId="46" fontId="3" fillId="0" borderId="0" xfId="0" applyNumberFormat="1" applyFont="1" applyAlignment="1" applyProtection="1">
      <alignment horizontal="center" vertical="center"/>
      <protection hidden="1"/>
    </xf>
    <xf numFmtId="0" fontId="4" fillId="7" borderId="0" xfId="0" applyFont="1" applyFill="1" applyAlignment="1" applyProtection="1">
      <alignment horizontal="center" vertical="center"/>
      <protection hidden="1"/>
    </xf>
    <xf numFmtId="9" fontId="3" fillId="0" borderId="2" xfId="3" applyFont="1" applyBorder="1" applyAlignment="1" applyProtection="1">
      <alignment horizontal="center" vertical="center"/>
      <protection locked="0"/>
    </xf>
    <xf numFmtId="9" fontId="4" fillId="0" borderId="2" xfId="3" applyFont="1" applyBorder="1" applyAlignment="1" applyProtection="1">
      <alignment horizontal="center" vertical="center"/>
      <protection locked="0"/>
    </xf>
    <xf numFmtId="9" fontId="3" fillId="6" borderId="2" xfId="3" applyFont="1" applyFill="1" applyBorder="1" applyAlignment="1" applyProtection="1">
      <alignment horizontal="center" vertical="center"/>
      <protection locked="0"/>
    </xf>
    <xf numFmtId="9" fontId="4" fillId="6" borderId="2" xfId="3" applyFont="1" applyFill="1" applyBorder="1" applyAlignment="1" applyProtection="1">
      <alignment horizontal="center" vertical="center"/>
      <protection locked="0"/>
    </xf>
    <xf numFmtId="9" fontId="4" fillId="0" borderId="2" xfId="3" applyFont="1" applyBorder="1" applyAlignment="1" applyProtection="1">
      <alignment horizontal="center" vertical="center" wrapText="1"/>
      <protection locked="0"/>
    </xf>
    <xf numFmtId="20" fontId="4" fillId="0" borderId="2" xfId="0" applyNumberFormat="1" applyFont="1" applyBorder="1" applyAlignment="1" applyProtection="1">
      <alignment horizontal="center" vertical="center" wrapText="1"/>
      <protection locked="0"/>
    </xf>
    <xf numFmtId="20" fontId="3" fillId="0" borderId="2" xfId="0" applyNumberFormat="1" applyFont="1" applyBorder="1" applyAlignment="1" applyProtection="1">
      <alignment horizontal="center" vertical="center" wrapText="1"/>
      <protection locked="0"/>
    </xf>
    <xf numFmtId="20" fontId="3" fillId="6" borderId="2" xfId="0" applyNumberFormat="1"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1" fontId="13" fillId="0" borderId="1" xfId="0" applyNumberFormat="1" applyFont="1" applyBorder="1" applyAlignment="1" applyProtection="1">
      <alignment horizontal="center" vertical="center"/>
      <protection hidden="1"/>
    </xf>
    <xf numFmtId="0" fontId="15" fillId="0" borderId="1" xfId="0" applyFont="1" applyBorder="1" applyAlignment="1">
      <alignment horizontal="center" vertical="center"/>
    </xf>
    <xf numFmtId="46" fontId="3" fillId="0" borderId="1" xfId="0" applyNumberFormat="1" applyFont="1" applyBorder="1" applyAlignment="1" applyProtection="1">
      <alignment horizontal="center" vertical="center"/>
      <protection hidden="1"/>
    </xf>
    <xf numFmtId="0" fontId="14" fillId="0" borderId="1" xfId="0" applyFont="1" applyBorder="1" applyAlignment="1">
      <alignment horizontal="center" vertical="center"/>
    </xf>
    <xf numFmtId="2" fontId="13" fillId="0" borderId="1" xfId="0" applyNumberFormat="1" applyFont="1" applyBorder="1" applyAlignment="1" applyProtection="1">
      <alignment horizontal="center" vertical="center"/>
      <protection hidden="1"/>
    </xf>
    <xf numFmtId="10" fontId="13" fillId="0" borderId="1" xfId="0" applyNumberFormat="1" applyFont="1" applyBorder="1" applyAlignment="1" applyProtection="1">
      <alignment horizontal="center" vertical="center"/>
      <protection hidden="1"/>
    </xf>
    <xf numFmtId="0" fontId="13" fillId="0" borderId="1" xfId="0" applyFont="1" applyBorder="1" applyAlignment="1">
      <alignment horizontal="center" vertical="center"/>
    </xf>
    <xf numFmtId="10" fontId="16" fillId="0" borderId="1" xfId="0" applyNumberFormat="1" applyFont="1" applyBorder="1" applyAlignment="1" applyProtection="1">
      <alignment horizontal="center" vertical="center"/>
      <protection hidden="1"/>
    </xf>
    <xf numFmtId="0" fontId="3" fillId="7" borderId="3" xfId="0" applyFont="1" applyFill="1" applyBorder="1" applyAlignment="1">
      <alignment horizontal="center" vertical="center"/>
    </xf>
    <xf numFmtId="1" fontId="13" fillId="7" borderId="3" xfId="0" applyNumberFormat="1" applyFont="1" applyFill="1" applyBorder="1" applyAlignment="1" applyProtection="1">
      <alignment horizontal="center" vertical="center"/>
      <protection hidden="1"/>
    </xf>
    <xf numFmtId="10" fontId="17" fillId="8" borderId="3" xfId="0" applyNumberFormat="1" applyFont="1" applyFill="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hidden="1"/>
    </xf>
    <xf numFmtId="0" fontId="3" fillId="0" borderId="2" xfId="0" applyFont="1" applyBorder="1" applyAlignment="1">
      <alignment horizontal="center" vertical="center"/>
    </xf>
    <xf numFmtId="1" fontId="13" fillId="0" borderId="8" xfId="0" applyNumberFormat="1" applyFont="1" applyBorder="1" applyAlignment="1" applyProtection="1">
      <alignment horizontal="center" vertical="center"/>
      <protection hidden="1"/>
    </xf>
    <xf numFmtId="0" fontId="15" fillId="0" borderId="8" xfId="0" applyFont="1" applyBorder="1" applyAlignment="1">
      <alignment horizontal="center" vertical="center"/>
    </xf>
    <xf numFmtId="46" fontId="3" fillId="0" borderId="8" xfId="0" applyNumberFormat="1" applyFont="1" applyBorder="1" applyAlignment="1" applyProtection="1">
      <alignment horizontal="center" vertical="center"/>
      <protection hidden="1"/>
    </xf>
    <xf numFmtId="0" fontId="14" fillId="0" borderId="8" xfId="0" applyFont="1" applyBorder="1" applyAlignment="1">
      <alignment horizontal="center" vertical="center"/>
    </xf>
    <xf numFmtId="0" fontId="8" fillId="3" borderId="7" xfId="2" applyFont="1" applyFill="1" applyBorder="1" applyAlignment="1">
      <alignment horizontal="center" vertical="center"/>
    </xf>
    <xf numFmtId="20" fontId="10" fillId="4" borderId="7" xfId="0" applyNumberFormat="1" applyFont="1" applyFill="1" applyBorder="1" applyAlignment="1" applyProtection="1">
      <alignment horizontal="center" vertical="center"/>
      <protection hidden="1"/>
    </xf>
    <xf numFmtId="20" fontId="10" fillId="5" borderId="7" xfId="0" applyNumberFormat="1" applyFont="1" applyFill="1" applyBorder="1" applyAlignment="1" applyProtection="1">
      <alignment horizontal="center" vertical="center"/>
      <protection hidden="1"/>
    </xf>
    <xf numFmtId="46" fontId="3" fillId="0" borderId="4" xfId="0" applyNumberFormat="1" applyFont="1" applyBorder="1" applyAlignment="1" applyProtection="1">
      <alignment horizontal="center" vertical="center"/>
      <protection hidden="1"/>
    </xf>
    <xf numFmtId="46" fontId="3" fillId="0" borderId="5" xfId="0" applyNumberFormat="1" applyFont="1" applyBorder="1" applyAlignment="1" applyProtection="1">
      <alignment horizontal="center" vertical="center"/>
      <protection hidden="1"/>
    </xf>
    <xf numFmtId="0" fontId="15" fillId="7" borderId="1" xfId="0" applyFont="1" applyFill="1" applyBorder="1" applyAlignment="1">
      <alignment horizontal="center" vertical="center"/>
    </xf>
    <xf numFmtId="46" fontId="3" fillId="7" borderId="1" xfId="0" applyNumberFormat="1" applyFont="1" applyFill="1" applyBorder="1" applyAlignment="1" applyProtection="1">
      <alignment horizontal="center" vertical="center"/>
      <protection hidden="1"/>
    </xf>
    <xf numFmtId="0" fontId="13" fillId="0" borderId="1" xfId="0" applyFont="1" applyBorder="1" applyAlignment="1" applyProtection="1">
      <alignment horizontal="center" vertical="center"/>
      <protection hidden="1"/>
    </xf>
    <xf numFmtId="1" fontId="13" fillId="0" borderId="1" xfId="0" applyNumberFormat="1" applyFont="1" applyBorder="1" applyAlignment="1" applyProtection="1">
      <alignment horizontal="center" vertical="center"/>
      <protection hidden="1"/>
    </xf>
    <xf numFmtId="0" fontId="1" fillId="0" borderId="0" xfId="0" applyFont="1" applyAlignment="1">
      <alignment horizontal="center" vertical="center"/>
    </xf>
    <xf numFmtId="0" fontId="8" fillId="3" borderId="7" xfId="2" applyFont="1" applyFill="1" applyBorder="1" applyAlignment="1">
      <alignment horizontal="center" vertical="center"/>
    </xf>
    <xf numFmtId="0" fontId="18" fillId="3" borderId="7" xfId="2" applyFont="1" applyFill="1" applyBorder="1" applyAlignment="1">
      <alignment horizontal="center" vertical="center"/>
    </xf>
    <xf numFmtId="0" fontId="13" fillId="0" borderId="8" xfId="0" applyFont="1" applyBorder="1" applyAlignment="1" applyProtection="1">
      <alignment horizontal="center" vertical="center"/>
      <protection hidden="1"/>
    </xf>
    <xf numFmtId="1" fontId="13" fillId="0" borderId="8" xfId="0" applyNumberFormat="1" applyFont="1" applyBorder="1" applyAlignment="1" applyProtection="1">
      <alignment horizontal="center" vertical="center"/>
      <protection hidden="1"/>
    </xf>
    <xf numFmtId="0" fontId="15" fillId="7" borderId="3" xfId="0" applyFont="1" applyFill="1" applyBorder="1" applyAlignment="1">
      <alignment horizontal="center" vertical="center"/>
    </xf>
    <xf numFmtId="46" fontId="3" fillId="7" borderId="3" xfId="0" applyNumberFormat="1" applyFont="1" applyFill="1" applyBorder="1" applyAlignment="1" applyProtection="1">
      <alignment horizontal="center" vertical="center"/>
      <protection hidden="1"/>
    </xf>
  </cellXfs>
  <cellStyles count="4">
    <cellStyle name="Normal" xfId="0" builtinId="0"/>
    <cellStyle name="Normal 2" xfId="2" xr:uid="{D9C3E3BD-C54B-4297-8A3D-4F4200F1ABF6}"/>
    <cellStyle name="Normal 3" xfId="1" xr:uid="{6A2786D7-CA65-4C52-9A7E-42DF1BDB8434}"/>
    <cellStyle name="Percent" xfId="3"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DEC8-6FE0-463B-9F9F-680485EA8536}">
  <sheetPr>
    <tabColor rgb="FF92D050"/>
  </sheetPr>
  <dimension ref="A1:W43"/>
  <sheetViews>
    <sheetView tabSelected="1" zoomScale="90" zoomScaleNormal="90" workbookViewId="0">
      <selection activeCell="M10" sqref="M10"/>
    </sheetView>
  </sheetViews>
  <sheetFormatPr defaultColWidth="0" defaultRowHeight="14.4" zeroHeight="1" x14ac:dyDescent="0.55000000000000004"/>
  <cols>
    <col min="1" max="1" width="13" bestFit="1" customWidth="1"/>
    <col min="2" max="2" width="10.7890625" bestFit="1" customWidth="1"/>
    <col min="3" max="3" width="14.15625" customWidth="1"/>
    <col min="4" max="4" width="16" customWidth="1"/>
    <col min="5" max="5" width="12.41796875" customWidth="1"/>
    <col min="6" max="6" width="13.578125" customWidth="1"/>
    <col min="7" max="7" width="15.47265625" customWidth="1"/>
    <col min="8" max="8" width="12.20703125" customWidth="1"/>
    <col min="9" max="9" width="13.7890625" customWidth="1"/>
    <col min="10" max="10" width="15.734375" customWidth="1"/>
    <col min="11" max="11" width="40" customWidth="1"/>
    <col min="12" max="12" width="29.7890625" customWidth="1"/>
    <col min="13" max="17" width="8.734375" customWidth="1"/>
    <col min="18" max="20" width="8.734375" hidden="1" customWidth="1"/>
    <col min="21" max="21" width="10.7890625" hidden="1" customWidth="1"/>
    <col min="22" max="22" width="14.3125" hidden="1" customWidth="1"/>
    <col min="23" max="16384" width="18.7890625" hidden="1"/>
  </cols>
  <sheetData>
    <row r="1" spans="1:23" ht="17.7" x14ac:dyDescent="0.55000000000000004">
      <c r="A1" s="69"/>
      <c r="B1" s="69"/>
      <c r="C1" s="69"/>
      <c r="D1" s="69"/>
      <c r="E1" s="69"/>
      <c r="F1" s="69"/>
      <c r="G1" s="69"/>
      <c r="H1" s="69"/>
      <c r="I1" s="69"/>
      <c r="J1" s="69"/>
      <c r="K1" s="69"/>
      <c r="L1" s="2"/>
      <c r="M1" s="2"/>
      <c r="N1" s="2"/>
      <c r="O1" s="2"/>
      <c r="P1" s="2"/>
      <c r="Q1" s="1"/>
      <c r="R1" s="1"/>
      <c r="S1" s="1"/>
      <c r="T1" s="2"/>
      <c r="U1" s="2"/>
      <c r="V1" s="2"/>
    </row>
    <row r="2" spans="1:23" ht="17.7" x14ac:dyDescent="0.55000000000000004">
      <c r="A2" s="60" t="s">
        <v>0</v>
      </c>
      <c r="B2" s="70" t="s">
        <v>1</v>
      </c>
      <c r="C2" s="70"/>
      <c r="D2" s="70"/>
      <c r="E2" s="70" t="s">
        <v>2</v>
      </c>
      <c r="F2" s="70"/>
      <c r="G2" s="70"/>
      <c r="H2" s="70" t="s">
        <v>3</v>
      </c>
      <c r="I2" s="70"/>
      <c r="J2" s="70"/>
      <c r="K2" s="71" t="s">
        <v>4</v>
      </c>
      <c r="L2" s="2"/>
      <c r="M2" s="2"/>
      <c r="N2" s="2"/>
      <c r="O2" s="2"/>
      <c r="P2" s="2"/>
      <c r="Q2" s="1"/>
      <c r="R2" s="1"/>
      <c r="S2" s="1"/>
      <c r="T2" s="2"/>
      <c r="U2" s="2"/>
      <c r="V2" s="2"/>
    </row>
    <row r="3" spans="1:23" x14ac:dyDescent="0.55000000000000004">
      <c r="A3" s="70" t="s">
        <v>46</v>
      </c>
      <c r="B3" s="60" t="s">
        <v>5</v>
      </c>
      <c r="C3" s="60" t="s">
        <v>6</v>
      </c>
      <c r="D3" s="60" t="s">
        <v>7</v>
      </c>
      <c r="E3" s="60" t="s">
        <v>5</v>
      </c>
      <c r="F3" s="60" t="s">
        <v>6</v>
      </c>
      <c r="G3" s="60" t="s">
        <v>7</v>
      </c>
      <c r="H3" s="60" t="s">
        <v>5</v>
      </c>
      <c r="I3" s="60" t="s">
        <v>6</v>
      </c>
      <c r="J3" s="60" t="s">
        <v>7</v>
      </c>
      <c r="K3" s="71"/>
      <c r="L3" s="2"/>
      <c r="M3" s="2"/>
      <c r="N3" s="2"/>
      <c r="O3" s="2"/>
      <c r="P3" s="2"/>
      <c r="Q3" s="2"/>
      <c r="R3" s="2"/>
      <c r="S3" s="2"/>
      <c r="T3" s="2"/>
      <c r="U3" s="3" t="s">
        <v>8</v>
      </c>
      <c r="V3" s="3" t="s">
        <v>8</v>
      </c>
      <c r="W3" s="26" t="s">
        <v>1</v>
      </c>
    </row>
    <row r="4" spans="1:23" s="23" customFormat="1" ht="15.9" thickBot="1" x14ac:dyDescent="0.65">
      <c r="A4" s="70"/>
      <c r="B4" s="61">
        <v>0.41666666666666669</v>
      </c>
      <c r="C4" s="61">
        <v>0.25</v>
      </c>
      <c r="D4" s="62">
        <f>+U4+C4-B4</f>
        <v>0.33333333333333331</v>
      </c>
      <c r="E4" s="61">
        <v>0.25</v>
      </c>
      <c r="F4" s="61">
        <v>0.41666666666666669</v>
      </c>
      <c r="G4" s="62">
        <v>0.16666666666666666</v>
      </c>
      <c r="H4" s="61">
        <v>0.41666666666666669</v>
      </c>
      <c r="I4" s="61">
        <v>0.41666666666666669</v>
      </c>
      <c r="J4" s="62">
        <f>I4+U12-H4</f>
        <v>0.5</v>
      </c>
      <c r="K4" s="71"/>
      <c r="L4" s="20"/>
      <c r="M4" s="20"/>
      <c r="N4" s="20"/>
      <c r="O4" s="20"/>
      <c r="P4" s="20"/>
      <c r="Q4" s="20"/>
      <c r="R4" s="20"/>
      <c r="S4" s="20"/>
      <c r="T4" s="20"/>
      <c r="U4" s="21">
        <v>0.5</v>
      </c>
      <c r="V4" s="22" t="s">
        <v>4</v>
      </c>
      <c r="W4" s="26" t="s">
        <v>10</v>
      </c>
    </row>
    <row r="5" spans="1:23" s="30" customFormat="1" ht="15" thickTop="1" thickBot="1" x14ac:dyDescent="0.6">
      <c r="A5" s="72" t="s">
        <v>1</v>
      </c>
      <c r="B5" s="73">
        <f>COUNTIF(B12:B42,A5)</f>
        <v>0</v>
      </c>
      <c r="C5" s="57" t="s">
        <v>20</v>
      </c>
      <c r="D5" s="58">
        <f>B5*D4</f>
        <v>0</v>
      </c>
      <c r="F5" s="59" t="s">
        <v>16</v>
      </c>
      <c r="G5" s="56">
        <f>COUNTIF(B12:B42,F5)</f>
        <v>2</v>
      </c>
      <c r="K5" s="28"/>
      <c r="M5" s="2"/>
      <c r="N5" s="5"/>
      <c r="O5" s="2"/>
      <c r="P5" s="2"/>
      <c r="Q5" s="29"/>
      <c r="R5" s="63" t="s">
        <v>10</v>
      </c>
      <c r="S5" s="64"/>
      <c r="U5" s="27"/>
      <c r="V5" s="27" t="s">
        <v>32</v>
      </c>
      <c r="W5" s="26" t="s">
        <v>16</v>
      </c>
    </row>
    <row r="6" spans="1:23" s="30" customFormat="1" ht="15" thickTop="1" thickBot="1" x14ac:dyDescent="0.6">
      <c r="A6" s="67"/>
      <c r="B6" s="68"/>
      <c r="C6" s="43" t="s">
        <v>21</v>
      </c>
      <c r="D6" s="44">
        <f>SUM(G12:G42)</f>
        <v>0</v>
      </c>
      <c r="F6" s="45" t="s">
        <v>18</v>
      </c>
      <c r="G6" s="42">
        <f>COUNTIF(B12:B42,F6)</f>
        <v>0</v>
      </c>
      <c r="I6" s="46" t="s">
        <v>28</v>
      </c>
      <c r="J6" s="47">
        <f>IF(M10&gt;0,SUM(M12:M42)/M10,0%)</f>
        <v>0.97</v>
      </c>
      <c r="K6" s="28"/>
      <c r="L6" s="2"/>
      <c r="M6" s="2"/>
      <c r="N6" s="5"/>
      <c r="O6" s="2"/>
      <c r="P6" s="2"/>
      <c r="Q6" s="29"/>
      <c r="R6" s="44" t="s">
        <v>4</v>
      </c>
      <c r="S6" s="44" t="s">
        <v>32</v>
      </c>
      <c r="U6" s="27"/>
      <c r="V6" s="49">
        <v>1</v>
      </c>
      <c r="W6" s="26" t="s">
        <v>18</v>
      </c>
    </row>
    <row r="7" spans="1:23" s="30" customFormat="1" ht="15" thickTop="1" thickBot="1" x14ac:dyDescent="0.6">
      <c r="A7" s="65" t="s">
        <v>22</v>
      </c>
      <c r="B7" s="65"/>
      <c r="C7" s="66" t="str">
        <f>IF(D6&gt;=D5,"لا يوجد خصم ساعات",D5-D6)</f>
        <v>لا يوجد خصم ساعات</v>
      </c>
      <c r="D7" s="66"/>
      <c r="F7" s="48" t="s">
        <v>19</v>
      </c>
      <c r="G7" s="42">
        <f>COUNTIF(B12:B42,F7)</f>
        <v>0</v>
      </c>
      <c r="I7" s="46" t="s">
        <v>27</v>
      </c>
      <c r="J7" s="47">
        <f>IF(N10&gt;0,SUM(N12:N42)/N10,0%)</f>
        <v>1</v>
      </c>
      <c r="K7" s="28"/>
      <c r="L7" s="2"/>
      <c r="M7" s="2"/>
      <c r="N7" s="5"/>
      <c r="O7" s="2"/>
      <c r="P7" s="2"/>
      <c r="Q7" s="29"/>
      <c r="R7" s="44">
        <f>B5*G4</f>
        <v>0</v>
      </c>
      <c r="S7" s="44">
        <f>COUNT(I12:I42)*D4</f>
        <v>2.333333333333333</v>
      </c>
      <c r="U7" s="27"/>
      <c r="V7" s="27"/>
      <c r="W7" s="26" t="s">
        <v>44</v>
      </c>
    </row>
    <row r="8" spans="1:23" s="30" customFormat="1" ht="15" thickTop="1" thickBot="1" x14ac:dyDescent="0.6">
      <c r="A8" s="67" t="s">
        <v>10</v>
      </c>
      <c r="B8" s="68">
        <f>COUNTIF(B12:B42,A8)</f>
        <v>7</v>
      </c>
      <c r="C8" s="43" t="s">
        <v>20</v>
      </c>
      <c r="D8" s="44">
        <f>IF(K2="Customer Care",R9,IF(K2="werk",S7,"Error"))</f>
        <v>3.5</v>
      </c>
      <c r="F8" s="45" t="s">
        <v>44</v>
      </c>
      <c r="G8" s="42">
        <f>COUNTIF(B12:B42,F8)</f>
        <v>0</v>
      </c>
      <c r="I8" s="46" t="s">
        <v>29</v>
      </c>
      <c r="J8" s="47">
        <f>IF(O10&gt;0,SUM(O12:O42)/O10,0%)</f>
        <v>0.92500000000000004</v>
      </c>
      <c r="K8" s="28"/>
      <c r="Q8" s="29"/>
      <c r="R8" s="44">
        <f>+B8*J4</f>
        <v>3.5</v>
      </c>
      <c r="S8" s="44"/>
      <c r="U8" s="27"/>
      <c r="V8" s="27"/>
      <c r="W8" s="26" t="s">
        <v>17</v>
      </c>
    </row>
    <row r="9" spans="1:23" s="30" customFormat="1" ht="15" thickTop="1" thickBot="1" x14ac:dyDescent="0.6">
      <c r="A9" s="67"/>
      <c r="B9" s="68"/>
      <c r="C9" s="43" t="s">
        <v>21</v>
      </c>
      <c r="D9" s="44">
        <f>SUM(J12:J42)</f>
        <v>3.5</v>
      </c>
      <c r="F9" s="48" t="s">
        <v>17</v>
      </c>
      <c r="G9" s="42">
        <f>COUNTIF(B12:B42,F9)</f>
        <v>0</v>
      </c>
      <c r="I9" s="46" t="s">
        <v>30</v>
      </c>
      <c r="J9" s="47">
        <f>IF(P10&gt;0,SUM(P12:P42)/P10,0)</f>
        <v>1</v>
      </c>
      <c r="K9" s="28"/>
      <c r="M9" s="41"/>
      <c r="N9" s="41"/>
      <c r="O9" s="41"/>
      <c r="P9" s="29"/>
      <c r="Q9" s="29"/>
      <c r="R9" s="44">
        <f>+R7+R8</f>
        <v>3.5</v>
      </c>
      <c r="S9" s="44"/>
      <c r="U9" s="27"/>
      <c r="V9" s="27"/>
      <c r="W9" s="26" t="s">
        <v>19</v>
      </c>
    </row>
    <row r="10" spans="1:23" s="30" customFormat="1" ht="15.6" thickTop="1" thickBot="1" x14ac:dyDescent="0.6">
      <c r="A10" s="74" t="s">
        <v>22</v>
      </c>
      <c r="B10" s="74"/>
      <c r="C10" s="75" t="str">
        <f>IF(D9&gt;=D8,"لا يوجد خصم ساعات",D8-D9)</f>
        <v>لا يوجد خصم ساعات</v>
      </c>
      <c r="D10" s="75"/>
      <c r="F10" s="50" t="s">
        <v>45</v>
      </c>
      <c r="G10" s="51" t="str">
        <f>IF(COUNT(D12:D42)=G5+G6+G7+G8+G9+B5+B8,"سليم","خطأ")</f>
        <v>خطأ</v>
      </c>
      <c r="I10" s="52" t="s">
        <v>31</v>
      </c>
      <c r="J10" s="52">
        <f>SUM(J6:J9)/4</f>
        <v>0.97375</v>
      </c>
      <c r="K10" s="28"/>
      <c r="L10" s="53" t="s">
        <v>23</v>
      </c>
      <c r="M10" s="53">
        <f>COUNT(M12:M42)</f>
        <v>4</v>
      </c>
      <c r="N10" s="53">
        <f t="shared" ref="N10:P10" si="0">COUNT(N12:N42)</f>
        <v>4</v>
      </c>
      <c r="O10" s="53">
        <f t="shared" si="0"/>
        <v>4</v>
      </c>
      <c r="P10" s="53">
        <f t="shared" si="0"/>
        <v>7</v>
      </c>
      <c r="Q10" s="29"/>
      <c r="R10" s="29"/>
      <c r="S10" s="29"/>
      <c r="U10" s="27"/>
      <c r="V10" s="27"/>
    </row>
    <row r="11" spans="1:23" ht="15" thickTop="1" thickBot="1" x14ac:dyDescent="0.6">
      <c r="A11" s="7" t="s">
        <v>0</v>
      </c>
      <c r="B11" s="54"/>
      <c r="C11" s="55" t="s">
        <v>11</v>
      </c>
      <c r="D11" s="55" t="s">
        <v>11</v>
      </c>
      <c r="E11" s="8" t="s">
        <v>12</v>
      </c>
      <c r="F11" s="8" t="s">
        <v>13</v>
      </c>
      <c r="G11" s="8" t="s">
        <v>9</v>
      </c>
      <c r="H11" s="8" t="s">
        <v>12</v>
      </c>
      <c r="I11" s="8" t="s">
        <v>13</v>
      </c>
      <c r="J11" s="8" t="s">
        <v>9</v>
      </c>
      <c r="K11" s="8" t="s">
        <v>14</v>
      </c>
      <c r="L11" s="8" t="s">
        <v>24</v>
      </c>
      <c r="M11" s="8" t="s">
        <v>25</v>
      </c>
      <c r="N11" s="8" t="s">
        <v>27</v>
      </c>
      <c r="O11" s="8" t="s">
        <v>26</v>
      </c>
      <c r="P11" s="8" t="s">
        <v>30</v>
      </c>
      <c r="Q11" s="26"/>
      <c r="R11" s="32" t="s">
        <v>1</v>
      </c>
      <c r="S11" s="32" t="s">
        <v>10</v>
      </c>
      <c r="T11" s="26" t="s">
        <v>10</v>
      </c>
      <c r="U11" s="3" t="s">
        <v>8</v>
      </c>
      <c r="V11" s="3" t="s">
        <v>15</v>
      </c>
    </row>
    <row r="12" spans="1:23" ht="15" thickTop="1" thickBot="1" x14ac:dyDescent="0.6">
      <c r="A12" s="7" t="str">
        <f>A3</f>
        <v>RADWA</v>
      </c>
      <c r="B12" s="9" t="s">
        <v>16</v>
      </c>
      <c r="C12" s="10">
        <f>D12</f>
        <v>45870</v>
      </c>
      <c r="D12" s="11">
        <v>45870</v>
      </c>
      <c r="E12" s="12"/>
      <c r="F12" s="12"/>
      <c r="G12" s="13" t="str">
        <f t="shared" ref="G12:G42" si="1">IF(E12&gt;0,IF(F12&gt;0,IF(B12=$A$5,R12,IF(B12=$A$8,"Done",IF(B12=$E$5,$E$5,IF(B12=$E$6,$E$6,IF(B12=$E$8,$E$8,IF(B12=$E$9,$E$9,IF(B12=$E$7,$E$7,"Error"))))))),"Error"),B12)</f>
        <v>يوم راحة</v>
      </c>
      <c r="H12" s="12"/>
      <c r="I12" s="12"/>
      <c r="J12" s="13" t="str">
        <f t="shared" ref="J12:J42" si="2">IF(H12&gt;0,IF(I12&gt;0,IF(B12=$A$5,S12,IF(B12=$A$8,T12,IF(B12=$E$5,$E$5,IF(B12=$E$6,$E$6,IF(B12=$E$8,$E$8,IF(B12=$E$9,$E$9,IF(B12=$E$7,$E$7,"Error"))))))),"Error"),B12)</f>
        <v>يوم راحة</v>
      </c>
      <c r="K12" s="14"/>
      <c r="L12" s="14"/>
      <c r="M12" s="33"/>
      <c r="N12" s="33"/>
      <c r="O12" s="33"/>
      <c r="P12" s="33"/>
      <c r="Q12" s="5"/>
      <c r="R12" s="31">
        <f t="shared" ref="R12:R42" si="3">+V12-E12</f>
        <v>0.5</v>
      </c>
      <c r="S12" s="31">
        <f t="shared" ref="S12:S42" si="4">+I12-H12</f>
        <v>0</v>
      </c>
      <c r="T12" s="31">
        <f t="shared" ref="T12:T26" si="5">(I12+U12)-H12</f>
        <v>0.5</v>
      </c>
      <c r="U12" s="4">
        <v>0.5</v>
      </c>
      <c r="V12" s="4">
        <f t="shared" ref="V12:V42" si="6">+F12+U12</f>
        <v>0.5</v>
      </c>
    </row>
    <row r="13" spans="1:23" ht="320.39999999999998" thickTop="1" thickBot="1" x14ac:dyDescent="0.6">
      <c r="A13" s="7" t="str">
        <f t="shared" ref="A13:A37" si="7">+A12</f>
        <v>RADWA</v>
      </c>
      <c r="B13" s="9" t="s">
        <v>10</v>
      </c>
      <c r="C13" s="10">
        <f t="shared" ref="C13:C42" si="8">D13</f>
        <v>45871</v>
      </c>
      <c r="D13" s="11">
        <v>45871</v>
      </c>
      <c r="E13" s="12"/>
      <c r="F13" s="12"/>
      <c r="G13" s="13" t="str">
        <f t="shared" si="1"/>
        <v>Online</v>
      </c>
      <c r="H13" s="15">
        <v>0.41666666666666669</v>
      </c>
      <c r="I13" s="12">
        <v>0.41666666666666669</v>
      </c>
      <c r="J13" s="13">
        <f t="shared" si="2"/>
        <v>0.5</v>
      </c>
      <c r="K13" s="19" t="s">
        <v>33</v>
      </c>
      <c r="L13" s="19" t="s">
        <v>42</v>
      </c>
      <c r="M13" s="34">
        <v>0.97</v>
      </c>
      <c r="N13" s="34">
        <v>1</v>
      </c>
      <c r="O13" s="34">
        <v>0.9</v>
      </c>
      <c r="P13" s="34">
        <v>1</v>
      </c>
      <c r="Q13" s="5"/>
      <c r="R13" s="31">
        <f t="shared" si="3"/>
        <v>0.5</v>
      </c>
      <c r="S13" s="31">
        <f t="shared" si="4"/>
        <v>0</v>
      </c>
      <c r="T13" s="31">
        <f t="shared" si="5"/>
        <v>0.5</v>
      </c>
      <c r="U13" s="4">
        <v>0.5</v>
      </c>
      <c r="V13" s="4">
        <f t="shared" si="6"/>
        <v>0.5</v>
      </c>
    </row>
    <row r="14" spans="1:23" ht="357.3" thickTop="1" thickBot="1" x14ac:dyDescent="0.6">
      <c r="A14" s="7" t="str">
        <f t="shared" si="7"/>
        <v>RADWA</v>
      </c>
      <c r="B14" s="9" t="s">
        <v>10</v>
      </c>
      <c r="C14" s="10">
        <f t="shared" si="8"/>
        <v>45872</v>
      </c>
      <c r="D14" s="11">
        <v>45872</v>
      </c>
      <c r="E14" s="12"/>
      <c r="F14" s="12"/>
      <c r="G14" s="13" t="str">
        <f t="shared" si="1"/>
        <v>Online</v>
      </c>
      <c r="H14" s="15">
        <v>0.41666666666666669</v>
      </c>
      <c r="I14" s="12">
        <v>0.41666666666666669</v>
      </c>
      <c r="J14" s="13">
        <f t="shared" si="2"/>
        <v>0.5</v>
      </c>
      <c r="K14" s="19" t="s">
        <v>34</v>
      </c>
      <c r="L14" s="19" t="s">
        <v>41</v>
      </c>
      <c r="M14" s="34">
        <v>0.95</v>
      </c>
      <c r="N14" s="34">
        <v>1</v>
      </c>
      <c r="O14" s="34">
        <v>0.85</v>
      </c>
      <c r="P14" s="34">
        <v>1</v>
      </c>
      <c r="Q14" s="5"/>
      <c r="R14" s="31">
        <f t="shared" si="3"/>
        <v>0.5</v>
      </c>
      <c r="S14" s="31">
        <f t="shared" si="4"/>
        <v>0</v>
      </c>
      <c r="T14" s="31">
        <f t="shared" si="5"/>
        <v>0.5</v>
      </c>
      <c r="U14" s="4">
        <v>0.5</v>
      </c>
      <c r="V14" s="4">
        <f t="shared" si="6"/>
        <v>0.5</v>
      </c>
    </row>
    <row r="15" spans="1:23" ht="320.39999999999998" thickTop="1" thickBot="1" x14ac:dyDescent="0.6">
      <c r="A15" s="7" t="str">
        <f t="shared" si="7"/>
        <v>RADWA</v>
      </c>
      <c r="B15" s="9" t="s">
        <v>10</v>
      </c>
      <c r="C15" s="10">
        <f t="shared" si="8"/>
        <v>45873</v>
      </c>
      <c r="D15" s="11">
        <v>45873</v>
      </c>
      <c r="E15" s="12"/>
      <c r="F15" s="12"/>
      <c r="G15" s="13" t="str">
        <f t="shared" si="1"/>
        <v>Online</v>
      </c>
      <c r="H15" s="15">
        <v>0.41666666666666669</v>
      </c>
      <c r="I15" s="12">
        <v>0.41666666666666669</v>
      </c>
      <c r="J15" s="13">
        <f t="shared" si="2"/>
        <v>0.5</v>
      </c>
      <c r="K15" s="38" t="s">
        <v>35</v>
      </c>
      <c r="L15" s="38" t="s">
        <v>40</v>
      </c>
      <c r="M15" s="34">
        <v>0.98</v>
      </c>
      <c r="N15" s="34">
        <v>1</v>
      </c>
      <c r="O15" s="34">
        <v>0.98</v>
      </c>
      <c r="P15" s="34">
        <v>1</v>
      </c>
      <c r="Q15" s="5"/>
      <c r="R15" s="31">
        <f t="shared" si="3"/>
        <v>0.5</v>
      </c>
      <c r="S15" s="31">
        <f t="shared" si="4"/>
        <v>0</v>
      </c>
      <c r="T15" s="31">
        <f t="shared" si="5"/>
        <v>0.5</v>
      </c>
      <c r="U15" s="4">
        <v>0.5</v>
      </c>
      <c r="V15" s="4">
        <f t="shared" si="6"/>
        <v>0.5</v>
      </c>
    </row>
    <row r="16" spans="1:23" ht="332.7" thickTop="1" thickBot="1" x14ac:dyDescent="0.6">
      <c r="A16" s="9" t="str">
        <f t="shared" si="7"/>
        <v>RADWA</v>
      </c>
      <c r="B16" s="9" t="s">
        <v>10</v>
      </c>
      <c r="C16" s="10">
        <f t="shared" si="8"/>
        <v>45874</v>
      </c>
      <c r="D16" s="11">
        <v>45874</v>
      </c>
      <c r="E16" s="12"/>
      <c r="F16" s="12"/>
      <c r="G16" s="13" t="str">
        <f t="shared" si="1"/>
        <v>Online</v>
      </c>
      <c r="H16" s="15">
        <v>0.41666666666666669</v>
      </c>
      <c r="I16" s="15">
        <v>0.41666666666666669</v>
      </c>
      <c r="J16" s="13">
        <f t="shared" si="2"/>
        <v>0.5</v>
      </c>
      <c r="K16" s="19" t="s">
        <v>36</v>
      </c>
      <c r="L16" s="19" t="s">
        <v>43</v>
      </c>
      <c r="M16" s="34">
        <v>0.98</v>
      </c>
      <c r="N16" s="34">
        <v>1</v>
      </c>
      <c r="O16" s="34">
        <v>0.97</v>
      </c>
      <c r="P16" s="34">
        <v>1</v>
      </c>
      <c r="Q16" s="18"/>
      <c r="R16" s="31">
        <f t="shared" si="3"/>
        <v>0.5</v>
      </c>
      <c r="S16" s="31">
        <f t="shared" si="4"/>
        <v>0</v>
      </c>
      <c r="T16" s="31">
        <f t="shared" si="5"/>
        <v>0.5</v>
      </c>
      <c r="U16" s="4">
        <v>0.5</v>
      </c>
      <c r="V16" s="4">
        <f t="shared" si="6"/>
        <v>0.5</v>
      </c>
    </row>
    <row r="17" spans="1:22" ht="320.39999999999998" thickTop="1" thickBot="1" x14ac:dyDescent="0.6">
      <c r="A17" s="7" t="str">
        <f t="shared" si="7"/>
        <v>RADWA</v>
      </c>
      <c r="B17" s="9" t="s">
        <v>10</v>
      </c>
      <c r="C17" s="10">
        <f t="shared" si="8"/>
        <v>45875</v>
      </c>
      <c r="D17" s="11">
        <v>45875</v>
      </c>
      <c r="E17" s="12"/>
      <c r="F17" s="12"/>
      <c r="G17" s="13" t="str">
        <f t="shared" si="1"/>
        <v>Online</v>
      </c>
      <c r="H17" s="15">
        <v>0.41666666666666669</v>
      </c>
      <c r="I17" s="15">
        <v>0.41666666666666669</v>
      </c>
      <c r="J17" s="13">
        <f t="shared" si="2"/>
        <v>0.5</v>
      </c>
      <c r="K17" s="39" t="s">
        <v>37</v>
      </c>
      <c r="L17" s="39"/>
      <c r="M17" s="33"/>
      <c r="N17" s="33"/>
      <c r="O17" s="33"/>
      <c r="P17" s="33">
        <v>1</v>
      </c>
      <c r="Q17" s="5"/>
      <c r="R17" s="31">
        <f t="shared" si="3"/>
        <v>0.5</v>
      </c>
      <c r="S17" s="31">
        <f t="shared" si="4"/>
        <v>0</v>
      </c>
      <c r="T17" s="31">
        <f t="shared" si="5"/>
        <v>0.5</v>
      </c>
      <c r="U17" s="4">
        <v>0.5</v>
      </c>
      <c r="V17" s="4">
        <f t="shared" si="6"/>
        <v>0.5</v>
      </c>
    </row>
    <row r="18" spans="1:22" ht="295.8" thickTop="1" thickBot="1" x14ac:dyDescent="0.6">
      <c r="A18" s="7" t="str">
        <f t="shared" si="7"/>
        <v>RADWA</v>
      </c>
      <c r="B18" s="9" t="s">
        <v>10</v>
      </c>
      <c r="C18" s="10">
        <f t="shared" si="8"/>
        <v>45876</v>
      </c>
      <c r="D18" s="11">
        <v>45876</v>
      </c>
      <c r="E18" s="12"/>
      <c r="F18" s="12"/>
      <c r="G18" s="13" t="str">
        <f t="shared" si="1"/>
        <v>Online</v>
      </c>
      <c r="H18" s="15">
        <v>0.41666666666666669</v>
      </c>
      <c r="I18" s="15">
        <v>0.41666666666666669</v>
      </c>
      <c r="J18" s="13">
        <f t="shared" si="2"/>
        <v>0.5</v>
      </c>
      <c r="K18" s="40" t="s">
        <v>38</v>
      </c>
      <c r="L18" s="24"/>
      <c r="M18" s="35"/>
      <c r="N18" s="35"/>
      <c r="O18" s="35"/>
      <c r="P18" s="35">
        <v>1</v>
      </c>
      <c r="Q18" s="5"/>
      <c r="R18" s="31">
        <f t="shared" si="3"/>
        <v>0.5</v>
      </c>
      <c r="S18" s="31">
        <f t="shared" si="4"/>
        <v>0</v>
      </c>
      <c r="T18" s="31">
        <f t="shared" si="5"/>
        <v>0.5</v>
      </c>
      <c r="U18" s="4">
        <v>0.5</v>
      </c>
      <c r="V18" s="4">
        <f t="shared" si="6"/>
        <v>0.5</v>
      </c>
    </row>
    <row r="19" spans="1:22" ht="15" thickTop="1" thickBot="1" x14ac:dyDescent="0.6">
      <c r="A19" s="7" t="str">
        <f t="shared" si="7"/>
        <v>RADWA</v>
      </c>
      <c r="B19" s="9" t="s">
        <v>16</v>
      </c>
      <c r="C19" s="10">
        <f t="shared" si="8"/>
        <v>45877</v>
      </c>
      <c r="D19" s="11">
        <v>45877</v>
      </c>
      <c r="E19" s="12"/>
      <c r="F19" s="12"/>
      <c r="G19" s="13" t="str">
        <f t="shared" si="1"/>
        <v>يوم راحة</v>
      </c>
      <c r="H19" s="17"/>
      <c r="I19" s="17"/>
      <c r="J19" s="13" t="str">
        <f t="shared" si="2"/>
        <v>يوم راحة</v>
      </c>
      <c r="K19" s="39"/>
      <c r="L19" s="14"/>
      <c r="M19" s="33"/>
      <c r="N19" s="33"/>
      <c r="O19" s="33"/>
      <c r="P19" s="33"/>
      <c r="Q19" s="5"/>
      <c r="R19" s="31">
        <f t="shared" si="3"/>
        <v>0.5</v>
      </c>
      <c r="S19" s="31">
        <f t="shared" si="4"/>
        <v>0</v>
      </c>
      <c r="T19" s="31">
        <f t="shared" si="5"/>
        <v>0.5</v>
      </c>
      <c r="U19" s="4">
        <v>0.5</v>
      </c>
      <c r="V19" s="4">
        <f t="shared" si="6"/>
        <v>0.5</v>
      </c>
    </row>
    <row r="20" spans="1:22" ht="357.3" thickTop="1" thickBot="1" x14ac:dyDescent="0.6">
      <c r="A20" s="7" t="str">
        <f t="shared" si="7"/>
        <v>RADWA</v>
      </c>
      <c r="B20" s="9" t="s">
        <v>10</v>
      </c>
      <c r="C20" s="10">
        <f t="shared" si="8"/>
        <v>45878</v>
      </c>
      <c r="D20" s="11">
        <v>45878</v>
      </c>
      <c r="E20" s="12"/>
      <c r="F20" s="12"/>
      <c r="G20" s="13" t="str">
        <f t="shared" si="1"/>
        <v>Online</v>
      </c>
      <c r="H20" s="13">
        <v>0.41666666666666669</v>
      </c>
      <c r="I20" s="13">
        <v>0.41666666666666669</v>
      </c>
      <c r="J20" s="13">
        <f t="shared" si="2"/>
        <v>0.5</v>
      </c>
      <c r="K20" s="19" t="s">
        <v>39</v>
      </c>
      <c r="L20" s="16"/>
      <c r="M20" s="34"/>
      <c r="N20" s="34"/>
      <c r="O20" s="34"/>
      <c r="P20" s="34">
        <v>1</v>
      </c>
      <c r="Q20" s="5"/>
      <c r="R20" s="31">
        <f t="shared" si="3"/>
        <v>0.5</v>
      </c>
      <c r="S20" s="31">
        <f t="shared" si="4"/>
        <v>0</v>
      </c>
      <c r="T20" s="31">
        <f t="shared" si="5"/>
        <v>0.5</v>
      </c>
      <c r="U20" s="4">
        <v>0.5</v>
      </c>
      <c r="V20" s="4">
        <f t="shared" si="6"/>
        <v>0.5</v>
      </c>
    </row>
    <row r="21" spans="1:22" ht="15" thickTop="1" thickBot="1" x14ac:dyDescent="0.6">
      <c r="A21" s="7" t="str">
        <f t="shared" si="7"/>
        <v>RADWA</v>
      </c>
      <c r="B21" s="9"/>
      <c r="C21" s="10">
        <f t="shared" si="8"/>
        <v>45879</v>
      </c>
      <c r="D21" s="11">
        <v>45879</v>
      </c>
      <c r="E21" s="12"/>
      <c r="F21" s="12"/>
      <c r="G21" s="13">
        <f t="shared" si="1"/>
        <v>0</v>
      </c>
      <c r="H21" s="17"/>
      <c r="I21" s="17"/>
      <c r="J21" s="13">
        <f t="shared" si="2"/>
        <v>0</v>
      </c>
      <c r="K21" s="16"/>
      <c r="L21" s="16"/>
      <c r="M21" s="34"/>
      <c r="N21" s="34"/>
      <c r="O21" s="34"/>
      <c r="P21" s="34"/>
      <c r="Q21" s="5"/>
      <c r="R21" s="31">
        <f t="shared" si="3"/>
        <v>0.5</v>
      </c>
      <c r="S21" s="31">
        <f t="shared" si="4"/>
        <v>0</v>
      </c>
      <c r="T21" s="31">
        <f t="shared" si="5"/>
        <v>0.5</v>
      </c>
      <c r="U21" s="4">
        <v>0.5</v>
      </c>
      <c r="V21" s="4">
        <f t="shared" si="6"/>
        <v>0.5</v>
      </c>
    </row>
    <row r="22" spans="1:22" ht="15" thickTop="1" thickBot="1" x14ac:dyDescent="0.6">
      <c r="A22" s="7" t="str">
        <f t="shared" si="7"/>
        <v>RADWA</v>
      </c>
      <c r="B22" s="9"/>
      <c r="C22" s="10">
        <f t="shared" si="8"/>
        <v>45880</v>
      </c>
      <c r="D22" s="11">
        <v>45880</v>
      </c>
      <c r="E22" s="12"/>
      <c r="F22" s="12"/>
      <c r="G22" s="13">
        <f t="shared" si="1"/>
        <v>0</v>
      </c>
      <c r="H22" s="17"/>
      <c r="I22" s="17"/>
      <c r="J22" s="13">
        <f t="shared" si="2"/>
        <v>0</v>
      </c>
      <c r="K22" s="16"/>
      <c r="L22" s="16"/>
      <c r="M22" s="34"/>
      <c r="N22" s="34"/>
      <c r="O22" s="34"/>
      <c r="P22" s="34"/>
      <c r="Q22" s="5"/>
      <c r="R22" s="31">
        <f t="shared" si="3"/>
        <v>0.5</v>
      </c>
      <c r="S22" s="31">
        <f t="shared" si="4"/>
        <v>0</v>
      </c>
      <c r="T22" s="31">
        <f t="shared" si="5"/>
        <v>0.5</v>
      </c>
      <c r="U22" s="4">
        <v>0.5</v>
      </c>
      <c r="V22" s="4">
        <f t="shared" si="6"/>
        <v>0.5</v>
      </c>
    </row>
    <row r="23" spans="1:22" ht="15" thickTop="1" thickBot="1" x14ac:dyDescent="0.6">
      <c r="A23" s="9" t="str">
        <f t="shared" si="7"/>
        <v>RADWA</v>
      </c>
      <c r="B23" s="9"/>
      <c r="C23" s="10">
        <f t="shared" si="8"/>
        <v>45881</v>
      </c>
      <c r="D23" s="11">
        <v>45881</v>
      </c>
      <c r="E23" s="12"/>
      <c r="F23" s="12"/>
      <c r="G23" s="13">
        <f t="shared" si="1"/>
        <v>0</v>
      </c>
      <c r="H23" s="17"/>
      <c r="I23" s="17"/>
      <c r="J23" s="13">
        <f t="shared" si="2"/>
        <v>0</v>
      </c>
      <c r="K23" s="16"/>
      <c r="L23" s="16"/>
      <c r="M23" s="34"/>
      <c r="N23" s="34"/>
      <c r="O23" s="34"/>
      <c r="P23" s="34"/>
      <c r="Q23" s="18"/>
      <c r="R23" s="31">
        <f t="shared" si="3"/>
        <v>0.5</v>
      </c>
      <c r="S23" s="31">
        <f t="shared" si="4"/>
        <v>0</v>
      </c>
      <c r="T23" s="31">
        <f t="shared" si="5"/>
        <v>0.5</v>
      </c>
      <c r="U23" s="4">
        <v>0.5</v>
      </c>
      <c r="V23" s="4">
        <f t="shared" si="6"/>
        <v>0.5</v>
      </c>
    </row>
    <row r="24" spans="1:22" ht="15" thickTop="1" thickBot="1" x14ac:dyDescent="0.6">
      <c r="A24" s="7" t="str">
        <f t="shared" si="7"/>
        <v>RADWA</v>
      </c>
      <c r="B24" s="9"/>
      <c r="C24" s="10">
        <f t="shared" si="8"/>
        <v>45882</v>
      </c>
      <c r="D24" s="11">
        <v>45882</v>
      </c>
      <c r="E24" s="12"/>
      <c r="F24" s="12"/>
      <c r="G24" s="13">
        <f t="shared" si="1"/>
        <v>0</v>
      </c>
      <c r="H24" s="17"/>
      <c r="I24" s="17"/>
      <c r="J24" s="13">
        <f t="shared" si="2"/>
        <v>0</v>
      </c>
      <c r="K24" s="14"/>
      <c r="L24" s="14"/>
      <c r="M24" s="33"/>
      <c r="N24" s="33"/>
      <c r="O24" s="33"/>
      <c r="P24" s="33"/>
      <c r="Q24" s="5"/>
      <c r="R24" s="31">
        <f t="shared" si="3"/>
        <v>0.5</v>
      </c>
      <c r="S24" s="31">
        <f t="shared" si="4"/>
        <v>0</v>
      </c>
      <c r="T24" s="31">
        <f t="shared" si="5"/>
        <v>0.5</v>
      </c>
      <c r="U24" s="4">
        <v>0.5</v>
      </c>
      <c r="V24" s="4">
        <f t="shared" si="6"/>
        <v>0.5</v>
      </c>
    </row>
    <row r="25" spans="1:22" ht="15" thickTop="1" thickBot="1" x14ac:dyDescent="0.6">
      <c r="A25" s="7" t="str">
        <f t="shared" si="7"/>
        <v>RADWA</v>
      </c>
      <c r="B25" s="9"/>
      <c r="C25" s="10">
        <f t="shared" si="8"/>
        <v>45883</v>
      </c>
      <c r="D25" s="11">
        <v>45883</v>
      </c>
      <c r="E25" s="12"/>
      <c r="F25" s="12"/>
      <c r="G25" s="13">
        <f t="shared" si="1"/>
        <v>0</v>
      </c>
      <c r="H25" s="17"/>
      <c r="I25" s="17"/>
      <c r="J25" s="13">
        <f t="shared" si="2"/>
        <v>0</v>
      </c>
      <c r="K25" s="14"/>
      <c r="L25" s="14"/>
      <c r="M25" s="33"/>
      <c r="N25" s="33"/>
      <c r="O25" s="33"/>
      <c r="P25" s="33"/>
      <c r="Q25" s="5"/>
      <c r="R25" s="31">
        <f t="shared" si="3"/>
        <v>0.5</v>
      </c>
      <c r="S25" s="31">
        <f t="shared" si="4"/>
        <v>0</v>
      </c>
      <c r="T25" s="31">
        <f t="shared" si="5"/>
        <v>0.5</v>
      </c>
      <c r="U25" s="4">
        <v>0.5</v>
      </c>
      <c r="V25" s="4">
        <f t="shared" si="6"/>
        <v>0.5</v>
      </c>
    </row>
    <row r="26" spans="1:22" ht="15" thickTop="1" thickBot="1" x14ac:dyDescent="0.6">
      <c r="A26" s="7" t="str">
        <f t="shared" si="7"/>
        <v>RADWA</v>
      </c>
      <c r="B26" s="9"/>
      <c r="C26" s="10">
        <f t="shared" si="8"/>
        <v>45884</v>
      </c>
      <c r="D26" s="11">
        <v>45884</v>
      </c>
      <c r="E26" s="12"/>
      <c r="F26" s="12"/>
      <c r="G26" s="13">
        <f t="shared" si="1"/>
        <v>0</v>
      </c>
      <c r="H26" s="17"/>
      <c r="I26" s="17"/>
      <c r="J26" s="13">
        <f t="shared" si="2"/>
        <v>0</v>
      </c>
      <c r="K26" s="16"/>
      <c r="L26" s="16"/>
      <c r="M26" s="34"/>
      <c r="N26" s="34"/>
      <c r="O26" s="34"/>
      <c r="P26" s="34"/>
      <c r="Q26" s="5"/>
      <c r="R26" s="31">
        <f t="shared" si="3"/>
        <v>0.5</v>
      </c>
      <c r="S26" s="31">
        <f t="shared" si="4"/>
        <v>0</v>
      </c>
      <c r="T26" s="31">
        <f t="shared" si="5"/>
        <v>0.5</v>
      </c>
      <c r="U26" s="4">
        <v>0.5</v>
      </c>
      <c r="V26" s="4">
        <f t="shared" si="6"/>
        <v>0.5</v>
      </c>
    </row>
    <row r="27" spans="1:22" ht="15" thickTop="1" thickBot="1" x14ac:dyDescent="0.6">
      <c r="A27" s="7" t="str">
        <f t="shared" si="7"/>
        <v>RADWA</v>
      </c>
      <c r="B27" s="9"/>
      <c r="C27" s="10">
        <f t="shared" si="8"/>
        <v>45885</v>
      </c>
      <c r="D27" s="11">
        <v>45885</v>
      </c>
      <c r="E27" s="12"/>
      <c r="F27" s="12"/>
      <c r="G27" s="13">
        <f t="shared" si="1"/>
        <v>0</v>
      </c>
      <c r="H27" s="17"/>
      <c r="I27" s="17"/>
      <c r="J27" s="13">
        <f t="shared" si="2"/>
        <v>0</v>
      </c>
      <c r="K27" s="16"/>
      <c r="L27" s="25"/>
      <c r="M27" s="36"/>
      <c r="N27" s="36"/>
      <c r="O27" s="36"/>
      <c r="P27" s="36"/>
      <c r="Q27" s="5"/>
      <c r="R27" s="31">
        <f t="shared" si="3"/>
        <v>0.5</v>
      </c>
      <c r="S27" s="31">
        <f t="shared" si="4"/>
        <v>0</v>
      </c>
      <c r="T27" s="31">
        <f t="shared" ref="T27:T42" si="9">(H27+U27)-I27</f>
        <v>0.5</v>
      </c>
      <c r="U27" s="4">
        <v>0.5</v>
      </c>
      <c r="V27" s="4">
        <f t="shared" si="6"/>
        <v>0.5</v>
      </c>
    </row>
    <row r="28" spans="1:22" ht="15" thickTop="1" thickBot="1" x14ac:dyDescent="0.6">
      <c r="A28" s="7" t="str">
        <f t="shared" si="7"/>
        <v>RADWA</v>
      </c>
      <c r="B28" s="9"/>
      <c r="C28" s="10">
        <f t="shared" si="8"/>
        <v>45886</v>
      </c>
      <c r="D28" s="11">
        <v>45886</v>
      </c>
      <c r="E28" s="12"/>
      <c r="F28" s="12"/>
      <c r="G28" s="13">
        <f t="shared" si="1"/>
        <v>0</v>
      </c>
      <c r="H28" s="17"/>
      <c r="I28" s="17"/>
      <c r="J28" s="13">
        <f t="shared" si="2"/>
        <v>0</v>
      </c>
      <c r="K28" s="16"/>
      <c r="L28" s="16"/>
      <c r="M28" s="34"/>
      <c r="N28" s="34"/>
      <c r="O28" s="34"/>
      <c r="P28" s="34"/>
      <c r="Q28" s="5"/>
      <c r="R28" s="31">
        <f t="shared" si="3"/>
        <v>0.5</v>
      </c>
      <c r="S28" s="31">
        <f t="shared" si="4"/>
        <v>0</v>
      </c>
      <c r="T28" s="31">
        <f t="shared" si="9"/>
        <v>0.5</v>
      </c>
      <c r="U28" s="4">
        <v>0.5</v>
      </c>
      <c r="V28" s="4">
        <f t="shared" si="6"/>
        <v>0.5</v>
      </c>
    </row>
    <row r="29" spans="1:22" ht="15" thickTop="1" thickBot="1" x14ac:dyDescent="0.6">
      <c r="A29" s="7" t="str">
        <f t="shared" si="7"/>
        <v>RADWA</v>
      </c>
      <c r="B29" s="9"/>
      <c r="C29" s="10">
        <f t="shared" si="8"/>
        <v>45887</v>
      </c>
      <c r="D29" s="11">
        <v>45887</v>
      </c>
      <c r="E29" s="12"/>
      <c r="F29" s="12"/>
      <c r="G29" s="13">
        <f t="shared" si="1"/>
        <v>0</v>
      </c>
      <c r="H29" s="17"/>
      <c r="I29" s="17"/>
      <c r="J29" s="13">
        <f t="shared" si="2"/>
        <v>0</v>
      </c>
      <c r="K29" s="16"/>
      <c r="L29" s="16"/>
      <c r="M29" s="34"/>
      <c r="N29" s="34"/>
      <c r="O29" s="34"/>
      <c r="P29" s="34"/>
      <c r="Q29" s="6"/>
      <c r="R29" s="31">
        <f t="shared" si="3"/>
        <v>0.5</v>
      </c>
      <c r="S29" s="31">
        <f t="shared" si="4"/>
        <v>0</v>
      </c>
      <c r="T29" s="31">
        <f t="shared" si="9"/>
        <v>0.5</v>
      </c>
      <c r="U29" s="4">
        <v>0.5</v>
      </c>
      <c r="V29" s="4">
        <f t="shared" si="6"/>
        <v>0.5</v>
      </c>
    </row>
    <row r="30" spans="1:22" ht="15" thickTop="1" thickBot="1" x14ac:dyDescent="0.6">
      <c r="A30" s="9" t="str">
        <f t="shared" si="7"/>
        <v>RADWA</v>
      </c>
      <c r="B30" s="9"/>
      <c r="C30" s="10">
        <f t="shared" si="8"/>
        <v>45888</v>
      </c>
      <c r="D30" s="11">
        <v>45888</v>
      </c>
      <c r="E30" s="12"/>
      <c r="F30" s="12"/>
      <c r="G30" s="13">
        <f t="shared" si="1"/>
        <v>0</v>
      </c>
      <c r="H30" s="17"/>
      <c r="I30" s="17"/>
      <c r="J30" s="13">
        <f t="shared" si="2"/>
        <v>0</v>
      </c>
      <c r="K30" s="16"/>
      <c r="L30" s="16"/>
      <c r="M30" s="34"/>
      <c r="N30" s="34"/>
      <c r="O30" s="34"/>
      <c r="P30" s="34"/>
      <c r="Q30" s="18"/>
      <c r="R30" s="31">
        <f t="shared" si="3"/>
        <v>0.5</v>
      </c>
      <c r="S30" s="31">
        <f t="shared" si="4"/>
        <v>0</v>
      </c>
      <c r="T30" s="31">
        <f t="shared" si="9"/>
        <v>0.5</v>
      </c>
      <c r="U30" s="4">
        <v>0.5</v>
      </c>
      <c r="V30" s="4">
        <f t="shared" si="6"/>
        <v>0.5</v>
      </c>
    </row>
    <row r="31" spans="1:22" ht="15" thickTop="1" thickBot="1" x14ac:dyDescent="0.6">
      <c r="A31" s="7" t="str">
        <f t="shared" si="7"/>
        <v>RADWA</v>
      </c>
      <c r="B31" s="9"/>
      <c r="C31" s="10">
        <f t="shared" si="8"/>
        <v>45889</v>
      </c>
      <c r="D31" s="11">
        <v>45889</v>
      </c>
      <c r="E31" s="12"/>
      <c r="F31" s="12"/>
      <c r="G31" s="13">
        <f t="shared" si="1"/>
        <v>0</v>
      </c>
      <c r="H31" s="17"/>
      <c r="I31" s="17"/>
      <c r="J31" s="13">
        <f t="shared" si="2"/>
        <v>0</v>
      </c>
      <c r="K31" s="16"/>
      <c r="L31" s="16"/>
      <c r="M31" s="34"/>
      <c r="N31" s="34"/>
      <c r="O31" s="34"/>
      <c r="P31" s="34"/>
      <c r="Q31" s="5"/>
      <c r="R31" s="31">
        <f t="shared" si="3"/>
        <v>0.5</v>
      </c>
      <c r="S31" s="31">
        <f t="shared" si="4"/>
        <v>0</v>
      </c>
      <c r="T31" s="31">
        <f t="shared" si="9"/>
        <v>0.5</v>
      </c>
      <c r="U31" s="4">
        <v>0.5</v>
      </c>
      <c r="V31" s="4">
        <f t="shared" si="6"/>
        <v>0.5</v>
      </c>
    </row>
    <row r="32" spans="1:22" ht="15" thickTop="1" thickBot="1" x14ac:dyDescent="0.6">
      <c r="A32" s="7" t="str">
        <f t="shared" si="7"/>
        <v>RADWA</v>
      </c>
      <c r="B32" s="9"/>
      <c r="C32" s="10">
        <f t="shared" si="8"/>
        <v>45890</v>
      </c>
      <c r="D32" s="11">
        <v>45890</v>
      </c>
      <c r="E32" s="12"/>
      <c r="F32" s="12"/>
      <c r="G32" s="13">
        <f t="shared" si="1"/>
        <v>0</v>
      </c>
      <c r="H32" s="17"/>
      <c r="I32" s="17"/>
      <c r="J32" s="13">
        <f t="shared" si="2"/>
        <v>0</v>
      </c>
      <c r="K32" s="14"/>
      <c r="L32" s="14"/>
      <c r="M32" s="33"/>
      <c r="N32" s="33"/>
      <c r="O32" s="33"/>
      <c r="P32" s="33"/>
      <c r="Q32" s="5"/>
      <c r="R32" s="31">
        <f t="shared" si="3"/>
        <v>0.5</v>
      </c>
      <c r="S32" s="31">
        <f t="shared" si="4"/>
        <v>0</v>
      </c>
      <c r="T32" s="31">
        <f t="shared" si="9"/>
        <v>0.5</v>
      </c>
      <c r="U32" s="4">
        <v>0.5</v>
      </c>
      <c r="V32" s="4">
        <f t="shared" si="6"/>
        <v>0.5</v>
      </c>
    </row>
    <row r="33" spans="1:22" ht="15" thickTop="1" thickBot="1" x14ac:dyDescent="0.6">
      <c r="A33" s="7" t="str">
        <f t="shared" si="7"/>
        <v>RADWA</v>
      </c>
      <c r="B33" s="9"/>
      <c r="C33" s="10">
        <f t="shared" si="8"/>
        <v>45891</v>
      </c>
      <c r="D33" s="11">
        <v>45891</v>
      </c>
      <c r="E33" s="12"/>
      <c r="F33" s="12"/>
      <c r="G33" s="13">
        <f t="shared" si="1"/>
        <v>0</v>
      </c>
      <c r="H33" s="17"/>
      <c r="I33" s="17"/>
      <c r="J33" s="13">
        <f t="shared" si="2"/>
        <v>0</v>
      </c>
      <c r="K33" s="16"/>
      <c r="L33" s="16"/>
      <c r="M33" s="34"/>
      <c r="N33" s="34"/>
      <c r="O33" s="34"/>
      <c r="P33" s="34"/>
      <c r="Q33" s="5"/>
      <c r="R33" s="31">
        <f t="shared" si="3"/>
        <v>0.5</v>
      </c>
      <c r="S33" s="31">
        <f t="shared" si="4"/>
        <v>0</v>
      </c>
      <c r="T33" s="31">
        <f t="shared" si="9"/>
        <v>0.5</v>
      </c>
      <c r="U33" s="4">
        <v>0.5</v>
      </c>
      <c r="V33" s="4">
        <f t="shared" si="6"/>
        <v>0.5</v>
      </c>
    </row>
    <row r="34" spans="1:22" ht="15" thickTop="1" thickBot="1" x14ac:dyDescent="0.6">
      <c r="A34" s="7" t="str">
        <f t="shared" si="7"/>
        <v>RADWA</v>
      </c>
      <c r="B34" s="9"/>
      <c r="C34" s="10">
        <f t="shared" si="8"/>
        <v>45892</v>
      </c>
      <c r="D34" s="11">
        <v>45892</v>
      </c>
      <c r="E34" s="12"/>
      <c r="F34" s="12"/>
      <c r="G34" s="13">
        <f t="shared" si="1"/>
        <v>0</v>
      </c>
      <c r="H34" s="17"/>
      <c r="I34" s="17"/>
      <c r="J34" s="13">
        <f t="shared" si="2"/>
        <v>0</v>
      </c>
      <c r="K34" s="19"/>
      <c r="L34" s="19"/>
      <c r="M34" s="37"/>
      <c r="N34" s="37"/>
      <c r="O34" s="37"/>
      <c r="P34" s="37"/>
      <c r="Q34" s="6"/>
      <c r="R34" s="31">
        <f t="shared" si="3"/>
        <v>0.5</v>
      </c>
      <c r="S34" s="31">
        <f t="shared" si="4"/>
        <v>0</v>
      </c>
      <c r="T34" s="31">
        <f t="shared" si="9"/>
        <v>0.5</v>
      </c>
      <c r="U34" s="4">
        <v>0.5</v>
      </c>
      <c r="V34" s="4">
        <f t="shared" si="6"/>
        <v>0.5</v>
      </c>
    </row>
    <row r="35" spans="1:22" ht="15" thickTop="1" thickBot="1" x14ac:dyDescent="0.6">
      <c r="A35" s="7" t="str">
        <f t="shared" si="7"/>
        <v>RADWA</v>
      </c>
      <c r="B35" s="9"/>
      <c r="C35" s="10">
        <f t="shared" si="8"/>
        <v>45893</v>
      </c>
      <c r="D35" s="11">
        <v>45893</v>
      </c>
      <c r="E35" s="12"/>
      <c r="F35" s="12"/>
      <c r="G35" s="13">
        <f t="shared" si="1"/>
        <v>0</v>
      </c>
      <c r="H35" s="17"/>
      <c r="I35" s="17"/>
      <c r="J35" s="13">
        <f t="shared" si="2"/>
        <v>0</v>
      </c>
      <c r="K35" s="16"/>
      <c r="L35" s="16"/>
      <c r="M35" s="34"/>
      <c r="N35" s="34"/>
      <c r="O35" s="34"/>
      <c r="P35" s="34"/>
      <c r="Q35" s="6"/>
      <c r="R35" s="31">
        <f t="shared" si="3"/>
        <v>0.5</v>
      </c>
      <c r="S35" s="31">
        <f t="shared" si="4"/>
        <v>0</v>
      </c>
      <c r="T35" s="31">
        <f t="shared" si="9"/>
        <v>0.5</v>
      </c>
      <c r="U35" s="4">
        <v>0.5</v>
      </c>
      <c r="V35" s="4">
        <f t="shared" si="6"/>
        <v>0.5</v>
      </c>
    </row>
    <row r="36" spans="1:22" ht="15" thickTop="1" thickBot="1" x14ac:dyDescent="0.6">
      <c r="A36" s="7" t="str">
        <f t="shared" si="7"/>
        <v>RADWA</v>
      </c>
      <c r="B36" s="9"/>
      <c r="C36" s="10">
        <f t="shared" si="8"/>
        <v>45894</v>
      </c>
      <c r="D36" s="11">
        <v>45894</v>
      </c>
      <c r="E36" s="12"/>
      <c r="F36" s="12"/>
      <c r="G36" s="13">
        <f t="shared" si="1"/>
        <v>0</v>
      </c>
      <c r="H36" s="17"/>
      <c r="I36" s="17"/>
      <c r="J36" s="13">
        <f t="shared" si="2"/>
        <v>0</v>
      </c>
      <c r="K36" s="16"/>
      <c r="L36" s="16"/>
      <c r="M36" s="34"/>
      <c r="N36" s="34"/>
      <c r="O36" s="34"/>
      <c r="P36" s="34"/>
      <c r="Q36" s="6"/>
      <c r="R36" s="31">
        <f t="shared" si="3"/>
        <v>0.5</v>
      </c>
      <c r="S36" s="31">
        <f t="shared" si="4"/>
        <v>0</v>
      </c>
      <c r="T36" s="31">
        <f t="shared" si="9"/>
        <v>0.5</v>
      </c>
      <c r="U36" s="4">
        <v>0.5</v>
      </c>
      <c r="V36" s="4">
        <f t="shared" si="6"/>
        <v>0.5</v>
      </c>
    </row>
    <row r="37" spans="1:22" ht="15" thickTop="1" thickBot="1" x14ac:dyDescent="0.6">
      <c r="A37" s="9" t="str">
        <f t="shared" si="7"/>
        <v>RADWA</v>
      </c>
      <c r="B37" s="9"/>
      <c r="C37" s="10">
        <f t="shared" si="8"/>
        <v>45895</v>
      </c>
      <c r="D37" s="11">
        <v>45895</v>
      </c>
      <c r="E37" s="12"/>
      <c r="F37" s="12"/>
      <c r="G37" s="13">
        <f t="shared" si="1"/>
        <v>0</v>
      </c>
      <c r="H37" s="17"/>
      <c r="I37" s="17"/>
      <c r="J37" s="13">
        <f t="shared" si="2"/>
        <v>0</v>
      </c>
      <c r="K37" s="16"/>
      <c r="L37" s="16"/>
      <c r="M37" s="34"/>
      <c r="N37" s="34"/>
      <c r="O37" s="34"/>
      <c r="P37" s="34"/>
      <c r="Q37" s="18"/>
      <c r="R37" s="31">
        <f t="shared" si="3"/>
        <v>0.5</v>
      </c>
      <c r="S37" s="31">
        <f t="shared" si="4"/>
        <v>0</v>
      </c>
      <c r="T37" s="31">
        <f t="shared" si="9"/>
        <v>0.5</v>
      </c>
      <c r="U37" s="4">
        <v>0.5</v>
      </c>
      <c r="V37" s="4">
        <f t="shared" si="6"/>
        <v>0.5</v>
      </c>
    </row>
    <row r="38" spans="1:22" ht="15" thickTop="1" thickBot="1" x14ac:dyDescent="0.6">
      <c r="A38" s="7" t="str">
        <f t="shared" ref="A38:A42" si="10">+A36</f>
        <v>RADWA</v>
      </c>
      <c r="B38" s="9"/>
      <c r="C38" s="10">
        <f t="shared" si="8"/>
        <v>45896</v>
      </c>
      <c r="D38" s="11">
        <v>45896</v>
      </c>
      <c r="E38" s="12"/>
      <c r="F38" s="12"/>
      <c r="G38" s="13">
        <f t="shared" si="1"/>
        <v>0</v>
      </c>
      <c r="H38" s="17"/>
      <c r="I38" s="17"/>
      <c r="J38" s="13">
        <f t="shared" si="2"/>
        <v>0</v>
      </c>
      <c r="K38" s="14"/>
      <c r="L38" s="14"/>
      <c r="M38" s="33"/>
      <c r="N38" s="33"/>
      <c r="O38" s="33"/>
      <c r="P38" s="33"/>
      <c r="Q38" s="6"/>
      <c r="R38" s="31">
        <f t="shared" si="3"/>
        <v>0.5</v>
      </c>
      <c r="S38" s="31">
        <f t="shared" si="4"/>
        <v>0</v>
      </c>
      <c r="T38" s="31">
        <f t="shared" si="9"/>
        <v>0.5</v>
      </c>
      <c r="U38" s="4">
        <v>0.5</v>
      </c>
      <c r="V38" s="4">
        <f t="shared" si="6"/>
        <v>0.5</v>
      </c>
    </row>
    <row r="39" spans="1:22" ht="15" thickTop="1" thickBot="1" x14ac:dyDescent="0.6">
      <c r="A39" s="7" t="str">
        <f t="shared" si="10"/>
        <v>RADWA</v>
      </c>
      <c r="B39" s="9"/>
      <c r="C39" s="10">
        <f t="shared" si="8"/>
        <v>45897</v>
      </c>
      <c r="D39" s="11">
        <v>45897</v>
      </c>
      <c r="E39" s="12"/>
      <c r="F39" s="12"/>
      <c r="G39" s="13">
        <f t="shared" si="1"/>
        <v>0</v>
      </c>
      <c r="H39" s="17"/>
      <c r="I39" s="17"/>
      <c r="J39" s="13">
        <f t="shared" si="2"/>
        <v>0</v>
      </c>
      <c r="K39" s="14"/>
      <c r="L39" s="14"/>
      <c r="M39" s="33"/>
      <c r="N39" s="33"/>
      <c r="O39" s="33"/>
      <c r="P39" s="33"/>
      <c r="Q39" s="5"/>
      <c r="R39" s="31">
        <f t="shared" si="3"/>
        <v>0.5</v>
      </c>
      <c r="S39" s="31">
        <f t="shared" si="4"/>
        <v>0</v>
      </c>
      <c r="T39" s="31">
        <f t="shared" si="9"/>
        <v>0.5</v>
      </c>
      <c r="U39" s="4">
        <v>0.5</v>
      </c>
      <c r="V39" s="4">
        <f t="shared" si="6"/>
        <v>0.5</v>
      </c>
    </row>
    <row r="40" spans="1:22" ht="15" thickTop="1" thickBot="1" x14ac:dyDescent="0.6">
      <c r="A40" s="7" t="str">
        <f t="shared" si="10"/>
        <v>RADWA</v>
      </c>
      <c r="B40" s="9"/>
      <c r="C40" s="10">
        <f t="shared" si="8"/>
        <v>45898</v>
      </c>
      <c r="D40" s="11">
        <v>45898</v>
      </c>
      <c r="E40" s="12"/>
      <c r="F40" s="12"/>
      <c r="G40" s="13">
        <f t="shared" si="1"/>
        <v>0</v>
      </c>
      <c r="H40" s="17"/>
      <c r="I40" s="17"/>
      <c r="J40" s="13">
        <f t="shared" si="2"/>
        <v>0</v>
      </c>
      <c r="K40" s="14"/>
      <c r="L40" s="14"/>
      <c r="M40" s="33"/>
      <c r="N40" s="33"/>
      <c r="O40" s="33"/>
      <c r="P40" s="33"/>
      <c r="Q40" s="6"/>
      <c r="R40" s="31">
        <f t="shared" si="3"/>
        <v>0.5</v>
      </c>
      <c r="S40" s="31">
        <f t="shared" si="4"/>
        <v>0</v>
      </c>
      <c r="T40" s="31">
        <f t="shared" si="9"/>
        <v>0.5</v>
      </c>
      <c r="U40" s="4">
        <v>0.5</v>
      </c>
      <c r="V40" s="4">
        <f t="shared" si="6"/>
        <v>0.5</v>
      </c>
    </row>
    <row r="41" spans="1:22" ht="15" thickTop="1" thickBot="1" x14ac:dyDescent="0.6">
      <c r="A41" s="7" t="str">
        <f t="shared" si="10"/>
        <v>RADWA</v>
      </c>
      <c r="B41" s="9"/>
      <c r="C41" s="10">
        <f t="shared" si="8"/>
        <v>45899</v>
      </c>
      <c r="D41" s="11">
        <v>45899</v>
      </c>
      <c r="E41" s="12"/>
      <c r="F41" s="12"/>
      <c r="G41" s="13">
        <f t="shared" si="1"/>
        <v>0</v>
      </c>
      <c r="H41" s="17"/>
      <c r="I41" s="17"/>
      <c r="J41" s="13">
        <f t="shared" si="2"/>
        <v>0</v>
      </c>
      <c r="K41" s="16"/>
      <c r="L41" s="16"/>
      <c r="M41" s="34"/>
      <c r="N41" s="34"/>
      <c r="O41" s="34"/>
      <c r="P41" s="34"/>
      <c r="Q41" s="6"/>
      <c r="R41" s="31">
        <f t="shared" si="3"/>
        <v>0.5</v>
      </c>
      <c r="S41" s="31">
        <f t="shared" si="4"/>
        <v>0</v>
      </c>
      <c r="T41" s="31">
        <f t="shared" si="9"/>
        <v>0.5</v>
      </c>
      <c r="U41" s="4">
        <v>0.5</v>
      </c>
      <c r="V41" s="4">
        <f t="shared" si="6"/>
        <v>0.5</v>
      </c>
    </row>
    <row r="42" spans="1:22" ht="15" thickTop="1" thickBot="1" x14ac:dyDescent="0.6">
      <c r="A42" s="7" t="str">
        <f t="shared" si="10"/>
        <v>RADWA</v>
      </c>
      <c r="B42" s="9"/>
      <c r="C42" s="10">
        <f t="shared" si="8"/>
        <v>45900</v>
      </c>
      <c r="D42" s="11">
        <v>45900</v>
      </c>
      <c r="E42" s="12"/>
      <c r="F42" s="12"/>
      <c r="G42" s="13">
        <f t="shared" si="1"/>
        <v>0</v>
      </c>
      <c r="H42" s="17"/>
      <c r="I42" s="17"/>
      <c r="J42" s="13">
        <f t="shared" si="2"/>
        <v>0</v>
      </c>
      <c r="K42" s="14"/>
      <c r="L42" s="14"/>
      <c r="M42" s="33"/>
      <c r="N42" s="33"/>
      <c r="O42" s="33"/>
      <c r="P42" s="33"/>
      <c r="Q42" s="6"/>
      <c r="R42" s="31">
        <f t="shared" si="3"/>
        <v>0.5</v>
      </c>
      <c r="S42" s="31">
        <f t="shared" si="4"/>
        <v>0</v>
      </c>
      <c r="T42" s="31">
        <f t="shared" si="9"/>
        <v>0.5</v>
      </c>
      <c r="U42" s="4">
        <v>0.5</v>
      </c>
      <c r="V42" s="4">
        <f t="shared" si="6"/>
        <v>0.5</v>
      </c>
    </row>
    <row r="43" spans="1:22" ht="14.7" hidden="1" thickTop="1" x14ac:dyDescent="0.55000000000000004"/>
  </sheetData>
  <mergeCells count="15">
    <mergeCell ref="A10:B10"/>
    <mergeCell ref="C10:D10"/>
    <mergeCell ref="A1:K1"/>
    <mergeCell ref="B2:D2"/>
    <mergeCell ref="E2:G2"/>
    <mergeCell ref="H2:J2"/>
    <mergeCell ref="A3:A4"/>
    <mergeCell ref="K2:K4"/>
    <mergeCell ref="R5:S5"/>
    <mergeCell ref="A7:B7"/>
    <mergeCell ref="C7:D7"/>
    <mergeCell ref="A8:A9"/>
    <mergeCell ref="B8:B9"/>
    <mergeCell ref="A5:A6"/>
    <mergeCell ref="B5:B6"/>
  </mergeCells>
  <conditionalFormatting sqref="D11:K11 G12:G19 J12:J19 G20:K26 D27:K42">
    <cfRule type="expression" dxfId="0" priority="2">
      <formula>"Error"</formula>
    </cfRule>
  </conditionalFormatting>
  <conditionalFormatting sqref="J6:J9 V6">
    <cfRule type="dataBar" priority="1">
      <dataBar>
        <cfvo type="min"/>
        <cfvo type="max"/>
        <color rgb="FF63C384"/>
      </dataBar>
      <extLst>
        <ext xmlns:x14="http://schemas.microsoft.com/office/spreadsheetml/2009/9/main" uri="{B025F937-C7B1-47D3-B67F-A62EFF666E3E}">
          <x14:id>{F9255CB7-BE37-46F0-83FC-ABA683B13376}</x14:id>
        </ext>
      </extLst>
    </cfRule>
  </conditionalFormatting>
  <dataValidations count="3">
    <dataValidation type="list" allowBlank="1" showInputMessage="1" showErrorMessage="1" sqref="Q2" xr:uid="{88C74AEC-E6AB-435E-AA28-3DB9C46974E4}">
      <formula1>$V$4:$V$4</formula1>
    </dataValidation>
    <dataValidation type="list" allowBlank="1" showInputMessage="1" showErrorMessage="1" sqref="K2" xr:uid="{BA535722-F998-4A29-9BAF-94D5ECEE325E}">
      <formula1>$V$4:$V$5</formula1>
    </dataValidation>
    <dataValidation type="list" allowBlank="1" showInputMessage="1" showErrorMessage="1" sqref="B12:B42" xr:uid="{39D3C164-6BF2-488D-9D9D-49A1CA18FC70}">
      <formula1>$W$3:$W$9</formula1>
    </dataValidation>
  </dataValidations>
  <pageMargins left="0.7" right="0.7" top="0.75" bottom="0.75" header="0.3" footer="0.3"/>
  <pageSetup paperSize="9"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dataBar" id="{F9255CB7-BE37-46F0-83FC-ABA683B13376}">
            <x14:dataBar minLength="0" maxLength="100" border="1" negativeBarBorderColorSameAsPositive="0">
              <x14:cfvo type="autoMin"/>
              <x14:cfvo type="autoMax"/>
              <x14:borderColor rgb="FF63C384"/>
              <x14:negativeFillColor rgb="FFFF0000"/>
              <x14:negativeBorderColor rgb="FFFF0000"/>
              <x14:axisColor rgb="FF000000"/>
            </x14:dataBar>
          </x14:cfRule>
          <xm:sqref>J6:J9 V6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RADWA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maged zakaria</dc:creator>
  <cp:lastModifiedBy>maged zakaria</cp:lastModifiedBy>
  <dcterms:created xsi:type="dcterms:W3CDTF">2025-03-13T12:50:22Z</dcterms:created>
  <dcterms:modified xsi:type="dcterms:W3CDTF">2026-07-30T16:41:07Z</dcterms:modified>
</cp:coreProperties>
</file>