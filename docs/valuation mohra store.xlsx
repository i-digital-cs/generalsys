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82026" sheetId="1" r:id="rId5"/>
    <sheet state="visible" name="2682026" sheetId="2" r:id="rId6"/>
    <sheet state="visible" name="2782026" sheetId="3" r:id="rId7"/>
    <sheet state="visible" name="2882026" sheetId="4" r:id="rId8"/>
    <sheet state="visible" name=" 2982026" sheetId="5" r:id="rId9"/>
    <sheet state="visible" name="3082026" sheetId="6" r:id="rId10"/>
  </sheets>
  <definedNames/>
  <calcPr/>
</workbook>
</file>

<file path=xl/sharedStrings.xml><?xml version="1.0" encoding="utf-8"?>
<sst xmlns="http://schemas.openxmlformats.org/spreadsheetml/2006/main" count="489" uniqueCount="97">
  <si>
    <t>)Valuation &amp; Gross (mohra stores)</t>
  </si>
  <si>
    <t>Date:</t>
  </si>
  <si>
    <t>وضع السوق اليوم</t>
  </si>
  <si>
    <t>حركة الأوردرات في سوق الاحذية (مصر):</t>
  </si>
  <si>
    <t xml:space="preserve">مؤشر انتشار </t>
  </si>
  <si>
    <t>مؤشرات</t>
  </si>
  <si>
    <t>النمو</t>
  </si>
  <si>
    <t>5,3%</t>
  </si>
  <si>
    <t>انتشار مبيعات</t>
  </si>
  <si>
    <t>الركود</t>
  </si>
  <si>
    <t>انتشار تسويق</t>
  </si>
  <si>
    <t>تقيم تدفق عمليات التشغيل (الموردين)</t>
  </si>
  <si>
    <t>Operation Flow assesses</t>
  </si>
  <si>
    <t>تقيم بضاعة تجار – مصطفى</t>
  </si>
  <si>
    <t>تقيم مصنع – كنزى</t>
  </si>
  <si>
    <t>إيجابيات:</t>
  </si>
  <si>
    <t xml:space="preserve">لا يوجد ملاحظات تشغيليه </t>
  </si>
  <si>
    <t xml:space="preserve">تم تسليم طلبيه في ميعادها </t>
  </si>
  <si>
    <t xml:space="preserve">لا يوجد اي ملاحظات تشغيليه </t>
  </si>
  <si>
    <t xml:space="preserve">تم ارسال الطلبيه في الميعاد </t>
  </si>
  <si>
    <t>لا يوجد ملاحظات تشغيليه</t>
  </si>
  <si>
    <t>سلبيات</t>
  </si>
  <si>
    <t>عدم الرد عليا سريعا  و عدم حل المشاكل ( تم ارسال اوردر خطا في المنصه مرتين )</t>
  </si>
  <si>
    <t xml:space="preserve">لا يوجد </t>
  </si>
  <si>
    <t xml:space="preserve">لا يوجد اي ملاحظات تشغيلية </t>
  </si>
  <si>
    <t xml:space="preserve">تقيم </t>
  </si>
  <si>
    <t>تقييم قسم الكاستمر كير واللوجيستك:</t>
  </si>
  <si>
    <t xml:space="preserve">تم الانتهاء من التاسكات ما عدا الجروس 
تم عمل شير فيس بوك ل 150 جروب و لم يتم ارسال اي رسائل 
تم عمل شير في الماركت بليس و تم ارسال رساله 
و لا يوجد  ملاحظات تشغيليه </t>
  </si>
  <si>
    <t xml:space="preserve"> تقييم قسم السيلز:</t>
  </si>
  <si>
    <t xml:space="preserve">اجازه </t>
  </si>
  <si>
    <t xml:space="preserve">تم الانتهاء من التاسكات كلها  و تم استلام شكوي من مندوب في شركه سبيد لاين و تم حل المشكله </t>
  </si>
  <si>
    <t xml:space="preserve">دعاء : اداء جيد 
دخل 24 رساله و 3 كومنتات 
و تم عمل اودرد واحد
تم عمل اوردر واحد من الماركت بليس
ساميه : اداء مقبول و لكن محتاجه متابعه مستمره و اعاده تاهيل لكيفيه البيع للعميل 
دخل 10 رسايل و لا يوجد اي اوردر </t>
  </si>
  <si>
    <t>Online sales :</t>
  </si>
  <si>
    <t>organic sales :</t>
  </si>
  <si>
    <t>Customer care sales :</t>
  </si>
  <si>
    <t>ساميه : اجازه 
دخل 30 رسايل  عملت منهم 4 اوردرات
والرابع  اتلغي لانه مكنش عايز يدفع شحن 
4 عميل بيسال عن الرجال
1 عميلة عايزاه سعر 250
6 اكونتات فيك 
2 انستا 
والباقي مستجبوش</t>
  </si>
  <si>
    <t>meta ads</t>
  </si>
  <si>
    <t>Google ads :</t>
  </si>
  <si>
    <t>Social Media organic :</t>
  </si>
  <si>
    <t>دعاء : دخل 40رسايل  عملت منهم   4 اوردرات ب 6 قطع 
1 استعجال
14 عملاء استجابه بس كان عايز ين مقاسات رجالي
11 انستا  محدش استجاب 
والباقي مفتحوش 
 4 كومنتات.     ساميه :دخل 22مسدج
تم عمل منهم اوردرين 
و تم إرسال لباقي العملاء ولم يتم الرد  
و 1 عايز مقاسات كبيره
وواحده مستنيه ردها هتحجز4قطع</t>
  </si>
  <si>
    <t>50 %</t>
  </si>
  <si>
    <t>Outdoor :</t>
  </si>
  <si>
    <t>80 %</t>
  </si>
  <si>
    <t>0 %</t>
  </si>
  <si>
    <t xml:space="preserve"> تقييم شركات الشحن:</t>
  </si>
  <si>
    <t>شركه سبيد لاين : لا يوجد ملاحظات تشغيليه بسبب عدم ارسال اي اوردر 
اوركيد : لا يوجد ملاحظات تشغيليه بسبب عدم ارسال اي اوردر
امير : لا يوجد ملاحظات تشغيليه بسبب عدم ارسال اي اوردر</t>
  </si>
  <si>
    <t>60 %</t>
  </si>
  <si>
    <t>70 %</t>
  </si>
  <si>
    <t xml:space="preserve"> تقييم قسم الميديا باير: لمهرة ستور</t>
  </si>
  <si>
    <t xml:space="preserve">فيس بوك مهره (ساميه ) : دخل 10 نقره منهم 2 كومنتات   
ولا اوردر
فيس بوك mohra ( دعاء ) : دخل 20 نقره منهم 4 كومنت  
تم عمل اوردر واحد 
و تم عمل اوردر ماركت بليس
واتساب دعاء  : لا يوجد رسائل
واتساب ساميه : لا يوجد رسائل
</t>
  </si>
  <si>
    <t>تقييم قسم الجرافيك والمونتاج: لمهرة ستور</t>
  </si>
  <si>
    <t xml:space="preserve">اوركيد : لا يوجد اي ملاحظات تشغيلية  / سبيد لاين : تم استلام ٧ اوردرات / امير : لا يوجد اي ملاحظات تشغيلية </t>
  </si>
  <si>
    <t>ساميه : اجازه 
دعاء : دخل 30 رسايل  عملت منهم 4 اوردرات
والرابع  اتلغي لانه مكنش عايز يدفع شحن 
4 عميل بيسال عن الرجال
1 عميلة عايزاه سعر 250
6 اكونتات فيك 
2 انستا 
والباقي مستجبوش</t>
  </si>
  <si>
    <t xml:space="preserve">تم عمل 7 صور و اداء جيد </t>
  </si>
  <si>
    <t>HR Follow-up (mohra Team)</t>
  </si>
  <si>
    <t>اجازه</t>
  </si>
  <si>
    <t>100%</t>
  </si>
  <si>
    <t xml:space="preserve">لا يوجد تاخيرات </t>
  </si>
  <si>
    <t xml:space="preserve">تم عمل ٥ صور أداء جيد </t>
  </si>
  <si>
    <t xml:space="preserve">لا يوجد ملاحظات </t>
  </si>
  <si>
    <t>تقييم قسم المخزن والفواتير( الحسابات):</t>
  </si>
  <si>
    <t xml:space="preserve">اوركيد : لا يوجد ملاحظات تشغيليه 
سبيد لاين : لا يوجد ملاحظات تشغيليه 
امير :  لا يوجد ملاحظاتتشغيليه
</t>
  </si>
  <si>
    <t>Quality &amp; Issues</t>
  </si>
  <si>
    <t xml:space="preserve"> (مشاكل وجودة ) Quality &amp; Issues</t>
  </si>
  <si>
    <t xml:space="preserve">اوركيد : لم يتم إرسال التقفيل اليوم / سبيد لاين : تم إرسال تقفيل اليوم / امير : لا يوجد اي ملاحظات تشغيلية </t>
  </si>
  <si>
    <t xml:space="preserve">لا يوجد شكاوي </t>
  </si>
  <si>
    <t>فيدباك العملاء</t>
  </si>
  <si>
    <t xml:space="preserve">لا يوجد ملاحظات تشغيليه  </t>
  </si>
  <si>
    <t>Valuation Methods</t>
  </si>
  <si>
    <t xml:space="preserve">تم استلام شكوي من مندوب أنه مش بيرد علي العميل و تم حل المشكله </t>
  </si>
  <si>
    <t>التارجت العام</t>
  </si>
  <si>
    <t>التنفيذ</t>
  </si>
  <si>
    <t>النسبة</t>
  </si>
  <si>
    <t>تارجت B2B</t>
  </si>
  <si>
    <t>مبيعات بالجملة</t>
  </si>
  <si>
    <t>تارجت B2C</t>
  </si>
  <si>
    <t>مبيعات بالقطاعى</t>
  </si>
  <si>
    <t>الشؤون المالية</t>
  </si>
  <si>
    <t xml:space="preserve">قيمة الشركة بالنسبة لمبيعات مقارنة بالسوق (B2B / B2C) </t>
  </si>
  <si>
    <t>Comparable</t>
  </si>
  <si>
    <t>B2B</t>
  </si>
  <si>
    <t>B2C</t>
  </si>
  <si>
    <t>التقيم العام مقارنتا بالتارجيت - KPIs</t>
  </si>
  <si>
    <t>KPIs</t>
  </si>
  <si>
    <t>إجمالي (مصروفات + أرباح + احتياطي)</t>
  </si>
  <si>
    <t>Discounted Cash Flow Details</t>
  </si>
  <si>
    <t>تقدير القيمة بناءً على الأرباح اليومية</t>
  </si>
  <si>
    <t>Capitalization of Earnings Method</t>
  </si>
  <si>
    <t>%100</t>
  </si>
  <si>
    <t xml:space="preserve">تم الانتهاء من التاسكات كامله / و تم استلام شكوي من عميل بسبب مقاس و تم حل الشكوي </t>
  </si>
  <si>
    <t>دخل عدد (73) من الصفحتين عملت 
2 اوردرات صفحة  مهرة  
5 اوردرات من mohra
2 استجابت من الفولو اب 
  منهم مقاس رجالي
 منهم مفتحتش الرسايل
منهم استجابوا  
اكتر من 15 عميل سالوا ع الرجالي</t>
  </si>
  <si>
    <t xml:space="preserve">سبيد لاين : تم استلام ١٠ اوردرات وتم استلام شكوي بخصوص لغبطه المندوب في ارسال رساله و تم حل المشكله / اوركيد :تم إرسال تقفيل اليوم / امير : لا يوجد اي ملاحظات تشغيلية / خالد : تم استلام ٩ اوردرات و تم تحصيل ٤ اوردرات </t>
  </si>
  <si>
    <t xml:space="preserve">
دخل عدد (73) من الصفحتين عملت 
2 اوردرات صفحة  مهرة  
5 اوردرات من mohra
2 استجابت من الفولو اب 
  منهم مقاس رجالي
 منهم مفتحتش الرسايل
منهم استجابوا  
اكتر من 15 عميل سالوا ع الرجالي
 </t>
  </si>
  <si>
    <t xml:space="preserve">تم انشاء ٩ صور بأداء جيد </t>
  </si>
  <si>
    <t xml:space="preserve">سبيد لاين : لا يوجد اي ملاحظات تشغيلية / اوركيد : لم يتم إرسال تقفيل اليوم / امير : لا يوجد اي ملاحظات تشغيلية / خالد : تم استلام ٩ اوردرات و تم تحصيل ٤ اوردرات  </t>
  </si>
  <si>
    <t xml:space="preserve">تم استلام شكوي بخصوص لغبطه المندوب في ارسال رساله و تم حل المشكله  </t>
  </si>
  <si>
    <t>تم استلام 4 ريفيو جيد عن المنتج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</si>
</sst>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&quot;-&quot;yyyy"/>
  </numFmts>
  <fonts count="13">
    <font>
      <sz val="10.0"/>
      <color rgb="FF000000"/>
      <name val="Arial"/>
      <scheme val="minor"/>
    </font>
    <font>
      <b/>
      <sz val="18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8.0"/>
      <color rgb="FFFFFFFF"/>
      <name val="Arial"/>
    </font>
    <font>
      <b/>
      <sz val="11.0"/>
      <color rgb="FFFFFFFF"/>
      <name val="Calibri"/>
    </font>
    <font>
      <b/>
      <sz val="12.0"/>
      <color theme="1"/>
      <name val="Arial"/>
    </font>
    <font>
      <b/>
      <sz val="14.0"/>
      <color rgb="FFFFFFFF"/>
      <name val="Calibri"/>
    </font>
    <font>
      <b/>
      <sz val="14.0"/>
      <color theme="1"/>
      <name val="Calibri"/>
    </font>
    <font>
      <b/>
      <sz val="16.0"/>
      <color rgb="FFFFFFFF"/>
      <name val="Calibri"/>
    </font>
    <font>
      <b/>
      <sz val="23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434343"/>
        <bgColor rgb="FF434343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0000FF"/>
        <bgColor rgb="FF0000FF"/>
      </patternFill>
    </fill>
    <fill>
      <patternFill patternType="solid">
        <fgColor rgb="FF1C4587"/>
        <bgColor rgb="FF1C4587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3C78D8"/>
        <bgColor rgb="FF3C78D8"/>
      </patternFill>
    </fill>
  </fills>
  <borders count="4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 style="thick">
        <color rgb="FFD9D2E9"/>
      </left>
      <top style="thick">
        <color rgb="FFD9D2E9"/>
      </top>
    </border>
    <border>
      <top style="thick">
        <color rgb="FFD9D2E9"/>
      </top>
    </border>
    <border>
      <right style="thick">
        <color rgb="FFD9D2E9"/>
      </right>
      <top style="thick">
        <color rgb="FFD9D2E9"/>
      </top>
    </border>
    <border>
      <left style="thick">
        <color rgb="FF20124D"/>
      </left>
      <top style="thick">
        <color rgb="FF20124D"/>
      </top>
      <bottom style="thick">
        <color rgb="FF20124D"/>
      </bottom>
    </border>
    <border>
      <top style="thick">
        <color rgb="FF20124D"/>
      </top>
      <bottom style="thick">
        <color rgb="FF20124D"/>
      </bottom>
    </border>
    <border>
      <right style="thick">
        <color rgb="FF20124D"/>
      </right>
      <top style="thick">
        <color rgb="FF20124D"/>
      </top>
      <bottom style="thick">
        <color rgb="FF20124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right/>
      <top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ck">
        <color rgb="FF9900FF"/>
      </right>
    </border>
    <border>
      <left style="thick">
        <color rgb="FF9900FF"/>
      </left>
      <top style="thick">
        <color rgb="FF9900FF"/>
      </top>
      <bottom style="thick">
        <color rgb="FF9900FF"/>
      </bottom>
    </border>
    <border>
      <right style="thick">
        <color rgb="FF9900FF"/>
      </right>
      <top style="thick">
        <color rgb="FF9900FF"/>
      </top>
      <bottom style="thick">
        <color rgb="FF9900FF"/>
      </bottom>
    </border>
    <border>
      <left style="thick">
        <color rgb="FF9900FF"/>
      </left>
      <right style="thick">
        <color rgb="FF9900FF"/>
      </right>
      <top style="thick">
        <color rgb="FF9900FF"/>
      </top>
      <bottom style="thick">
        <color rgb="FF9900FF"/>
      </bottom>
    </border>
    <border>
      <right style="thin">
        <color rgb="FF000000"/>
      </right>
    </border>
    <border>
      <left style="thin">
        <color rgb="FF000000"/>
      </left>
      <bottom style="thick">
        <color rgb="FF9900FF"/>
      </bottom>
    </border>
    <border>
      <bottom style="thick">
        <color rgb="FF9900FF"/>
      </bottom>
    </border>
    <border>
      <right style="thick">
        <color rgb="FF9900FF"/>
      </right>
      <bottom style="thick">
        <color rgb="FF9900FF"/>
      </bottom>
    </border>
    <border>
      <left/>
      <right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4" fontId="7" numFmtId="9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6" fontId="9" numFmtId="0" xfId="0" applyAlignment="1" applyBorder="1" applyFill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6" fontId="9" numFmtId="0" xfId="0" applyAlignment="1" applyBorder="1" applyFill="1" applyFont="1">
      <alignment horizontal="center" shrinkToFit="0" vertical="center" wrapText="1"/>
    </xf>
    <xf borderId="11" fillId="7" fontId="5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8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4" fillId="9" fontId="4" numFmtId="0" xfId="0" applyAlignment="1" applyBorder="1" applyFill="1" applyFont="1">
      <alignment horizontal="center" shrinkToFit="0" vertical="center" wrapText="1"/>
    </xf>
    <xf borderId="17" fillId="8" fontId="4" numFmtId="0" xfId="0" applyAlignment="1" applyBorder="1" applyFill="1" applyFont="1">
      <alignment horizontal="center" readingOrder="0" shrinkToFit="0" vertical="center" wrapText="1"/>
    </xf>
    <xf borderId="18" fillId="0" fontId="2" numFmtId="0" xfId="0" applyBorder="1" applyFont="1"/>
    <xf borderId="17" fillId="9" fontId="4" numFmtId="0" xfId="0" applyAlignment="1" applyBorder="1" applyFill="1" applyFont="1">
      <alignment horizontal="center" readingOrder="0" shrinkToFit="0" vertical="center" wrapText="1"/>
    </xf>
    <xf borderId="17" fillId="8" fontId="4" numFmtId="0" xfId="0" applyAlignment="1" applyBorder="1" applyFill="1" applyFont="1">
      <alignment horizontal="center" shrinkToFit="0" vertical="center" wrapText="1"/>
    </xf>
    <xf borderId="19" fillId="8" fontId="4" numFmtId="0" xfId="0" applyAlignment="1" applyBorder="1" applyFill="1" applyFont="1">
      <alignment horizontal="center" readingOrder="0" shrinkToFit="0" vertical="center" wrapText="1"/>
    </xf>
    <xf borderId="20" fillId="0" fontId="2" numFmtId="0" xfId="0" applyBorder="1" applyFont="1"/>
    <xf borderId="21" fillId="0" fontId="2" numFmtId="0" xfId="0" applyBorder="1" applyFont="1"/>
    <xf borderId="19" fillId="9" fontId="4" numFmtId="0" xfId="0" applyAlignment="1" applyBorder="1" applyFill="1" applyFont="1">
      <alignment horizontal="center" readingOrder="0" shrinkToFit="0" vertical="center" wrapText="1"/>
    </xf>
    <xf borderId="22" fillId="10" fontId="7" numFmtId="9" xfId="0" applyAlignment="1" applyBorder="1" applyFill="1" applyFont="1" applyNumberFormat="1">
      <alignment horizontal="center" readingOrder="0" shrinkToFit="0" vertical="center" wrapText="1"/>
    </xf>
    <xf borderId="22" fillId="10" fontId="7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23" fillId="0" fontId="2" numFmtId="0" xfId="0" applyBorder="1" applyFont="1"/>
    <xf borderId="1" fillId="9" fontId="4" numFmtId="0" xfId="0" applyAlignment="1" applyBorder="1" applyFill="1" applyFont="1">
      <alignment horizontal="center" readingOrder="0" shrinkToFit="0" vertical="center" wrapText="1"/>
    </xf>
    <xf borderId="24" fillId="5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center" vertical="center"/>
    </xf>
    <xf borderId="4" fillId="5" fontId="3" numFmtId="10" xfId="0" applyAlignment="1" applyBorder="1" applyFill="1" applyFont="1" applyNumberFormat="1">
      <alignment horizontal="center" vertical="center"/>
    </xf>
    <xf borderId="24" fillId="5" fontId="3" numFmtId="10" xfId="0" applyAlignment="1" applyBorder="1" applyFill="1" applyFont="1" applyNumberForma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19" fillId="0" fontId="10" numFmtId="0" xfId="0" applyAlignment="1" applyBorder="1" applyFont="1">
      <alignment horizontal="center" shrinkToFit="0" vertical="center" wrapText="1"/>
    </xf>
    <xf borderId="4" fillId="5" fontId="4" numFmtId="10" xfId="0" applyAlignment="1" applyBorder="1" applyFill="1" applyFont="1" applyNumberFormat="1">
      <alignment horizontal="center" vertical="center"/>
    </xf>
    <xf borderId="20" fillId="0" fontId="3" numFmtId="9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 readingOrder="0" shrinkToFit="0" vertical="center" wrapText="1"/>
    </xf>
    <xf borderId="25" fillId="10" fontId="7" numFmtId="9" xfId="0" applyAlignment="1" applyBorder="1" applyFill="1" applyFont="1" applyNumberFormat="1">
      <alignment horizontal="center" shrinkToFit="0" vertical="center" wrapText="1"/>
    </xf>
    <xf borderId="20" fillId="0" fontId="4" numFmtId="9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horizontal="center" vertical="center"/>
    </xf>
    <xf borderId="26" fillId="10" fontId="7" numFmtId="10" xfId="0" applyAlignment="1" applyBorder="1" applyFill="1" applyFont="1" applyNumberFormat="1">
      <alignment horizontal="center" readingOrder="0" shrinkToFit="0" vertical="center" wrapText="1"/>
    </xf>
    <xf borderId="20" fillId="0" fontId="4" numFmtId="9" xfId="0" applyAlignment="1" applyBorder="1" applyFont="1" applyNumberFormat="1">
      <alignment horizontal="center" shrinkToFit="0" vertical="center" wrapText="1"/>
    </xf>
    <xf borderId="27" fillId="0" fontId="4" numFmtId="9" xfId="0" applyAlignment="1" applyBorder="1" applyFont="1" applyNumberForma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0" fontId="4" numFmtId="0" xfId="0" applyAlignment="1" applyBorder="1" applyFont="1">
      <alignment horizontal="center" readingOrder="0" shrinkToFit="0" vertical="center" wrapText="1"/>
    </xf>
    <xf borderId="30" fillId="0" fontId="2" numFmtId="0" xfId="0" applyBorder="1" applyFont="1"/>
    <xf borderId="31" fillId="9" fontId="4" numFmtId="0" xfId="0" applyAlignment="1" applyBorder="1" applyFill="1" applyFont="1">
      <alignment horizontal="center" shrinkToFit="0" vertical="center" wrapText="1"/>
    </xf>
    <xf borderId="32" fillId="0" fontId="2" numFmtId="0" xfId="0" applyBorder="1" applyFont="1"/>
    <xf borderId="33" fillId="9" fontId="3" numFmtId="9" xfId="0" applyAlignment="1" applyBorder="1" applyFill="1" applyFont="1" applyNumberFormat="1">
      <alignment horizontal="center" readingOrder="0" vertical="center"/>
    </xf>
    <xf borderId="29" fillId="0" fontId="2" numFmtId="0" xfId="0" applyBorder="1" applyFont="1"/>
    <xf borderId="31" fillId="9" fontId="4" numFmtId="0" xfId="0" applyAlignment="1" applyBorder="1" applyFill="1" applyFont="1">
      <alignment horizontal="center" readingOrder="0" shrinkToFit="0" vertical="center" wrapText="1"/>
    </xf>
    <xf borderId="34" fillId="0" fontId="2" numFmtId="0" xfId="0" applyBorder="1" applyFont="1"/>
    <xf borderId="33" fillId="4" fontId="7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3" fillId="9" fontId="3" numFmtId="0" xfId="0" applyAlignment="1" applyBorder="1" applyFill="1" applyFont="1">
      <alignment horizontal="center" readingOrder="0" vertical="center"/>
    </xf>
    <xf borderId="38" fillId="5" fontId="3" numFmtId="10" xfId="0" applyAlignment="1" applyBorder="1" applyFill="1" applyFont="1" applyNumberFormat="1">
      <alignment horizontal="center" vertical="center"/>
    </xf>
    <xf borderId="38" fillId="5" fontId="3" numFmtId="9" xfId="0" applyAlignment="1" applyBorder="1" applyFill="1" applyFont="1" applyNumberFormat="1">
      <alignment horizontal="center" vertical="center"/>
    </xf>
    <xf borderId="33" fillId="4" fontId="7" numFmtId="9" xfId="0" applyAlignment="1" applyBorder="1" applyFill="1" applyFont="1" applyNumberFormat="1">
      <alignment horizontal="center" shrinkToFit="0" vertical="center" wrapText="1"/>
    </xf>
    <xf borderId="19" fillId="0" fontId="10" numFmtId="0" xfId="0" applyAlignment="1" applyBorder="1" applyFont="1">
      <alignment horizontal="center" readingOrder="0" shrinkToFit="0" vertical="center" wrapText="1"/>
    </xf>
    <xf borderId="25" fillId="10" fontId="7" numFmtId="9" xfId="0" applyAlignment="1" applyBorder="1" applyFill="1" applyFont="1" applyNumberFormat="1">
      <alignment horizontal="center" readingOrder="0" shrinkToFit="0" vertical="center" wrapText="1"/>
    </xf>
    <xf borderId="14" fillId="0" fontId="2" numFmtId="0" xfId="0" applyBorder="1" applyFont="1"/>
    <xf borderId="39" fillId="9" fontId="4" numFmtId="0" xfId="0" applyAlignment="1" applyBorder="1" applyFill="1" applyFont="1">
      <alignment horizontal="center" readingOrder="0" shrinkToFit="0" vertical="center" wrapText="1"/>
    </xf>
    <xf borderId="40" fillId="0" fontId="2" numFmtId="0" xfId="0" applyBorder="1" applyFont="1"/>
    <xf borderId="41" fillId="0" fontId="2" numFmtId="0" xfId="0" applyBorder="1" applyFont="1"/>
    <xf borderId="4" fillId="5" fontId="3" numFmtId="9" xfId="0" applyAlignment="1" applyBorder="1" applyFill="1" applyFont="1" applyNumberFormat="1">
      <alignment horizontal="center" vertical="center"/>
    </xf>
    <xf borderId="42" fillId="0" fontId="10" numFmtId="0" xfId="0" applyAlignment="1" applyBorder="1" applyFont="1">
      <alignment horizontal="center" readingOrder="0" shrinkToFit="0" vertical="center" wrapText="1"/>
    </xf>
    <xf borderId="27" fillId="0" fontId="3" numFmtId="0" xfId="0" applyAlignment="1" applyBorder="1" applyFont="1">
      <alignment horizontal="center" vertical="center"/>
    </xf>
    <xf borderId="26" fillId="10" fontId="7" numFmtId="0" xfId="0" applyAlignment="1" applyBorder="1" applyFill="1" applyFont="1">
      <alignment horizontal="center" shrinkToFit="0" vertical="center" wrapText="1"/>
    </xf>
    <xf borderId="39" fillId="9" fontId="3" numFmtId="0" xfId="0" applyAlignment="1" applyBorder="1" applyFill="1" applyFont="1">
      <alignment horizontal="center" readingOrder="0" vertical="center"/>
    </xf>
    <xf borderId="38" fillId="5" fontId="3" numFmtId="0" xfId="0" applyAlignment="1" applyBorder="1" applyFill="1" applyFont="1">
      <alignment horizontal="center" vertical="center"/>
    </xf>
    <xf borderId="4" fillId="3" fontId="3" numFmtId="10" xfId="0" applyAlignment="1" applyBorder="1" applyFill="1" applyFont="1" applyNumberFormat="1">
      <alignment horizontal="center" vertical="center"/>
    </xf>
    <xf borderId="4" fillId="3" fontId="3" numFmtId="9" xfId="0" applyAlignment="1" applyBorder="1" applyFill="1" applyFont="1" applyNumberFormat="1">
      <alignment horizontal="center" vertical="center"/>
    </xf>
    <xf borderId="25" fillId="10" fontId="7" numFmtId="10" xfId="0" applyAlignment="1" applyBorder="1" applyFill="1" applyFont="1" applyNumberFormat="1">
      <alignment horizontal="center" shrinkToFit="0" vertical="center" wrapText="1"/>
    </xf>
    <xf borderId="1" fillId="11" fontId="9" numFmtId="0" xfId="0" applyAlignment="1" applyBorder="1" applyFill="1" applyFont="1">
      <alignment horizontal="center" shrinkToFit="0" vertical="center" wrapText="1"/>
    </xf>
    <xf borderId="1" fillId="11" fontId="7" numFmtId="164" xfId="0" applyAlignment="1" applyBorder="1" applyFill="1" applyFont="1" applyNumberFormat="1">
      <alignment horizontal="center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4" fillId="12" fontId="3" numFmtId="0" xfId="0" applyAlignment="1" applyBorder="1" applyFill="1" applyFont="1">
      <alignment horizontal="center" vertical="center"/>
    </xf>
    <xf borderId="4" fillId="12" fontId="4" numFmtId="10" xfId="0" applyAlignment="1" applyBorder="1" applyFill="1" applyFont="1" applyNumberFormat="1">
      <alignment horizontal="center" shrinkToFit="0" vertical="center" wrapText="1"/>
    </xf>
    <xf borderId="4" fillId="13" fontId="8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ill="1" applyFont="1">
      <alignment horizontal="center" shrinkToFit="0" vertical="center" wrapText="1"/>
    </xf>
    <xf borderId="4" fillId="13" fontId="3" numFmtId="0" xfId="0" applyAlignment="1" applyBorder="1" applyFill="1" applyFont="1">
      <alignment horizontal="center" vertical="center"/>
    </xf>
    <xf borderId="4" fillId="13" fontId="8" numFmtId="0" xfId="0" applyAlignment="1" applyBorder="1" applyFill="1" applyFont="1">
      <alignment horizontal="center" readingOrder="0" shrinkToFit="0" vertical="center" wrapText="1"/>
    </xf>
    <xf borderId="4" fillId="13" fontId="4" numFmtId="0" xfId="0" applyAlignment="1" applyBorder="1" applyFill="1" applyFont="1">
      <alignment horizontal="center" readingOrder="0" shrinkToFit="0" vertical="center" wrapText="1"/>
    </xf>
    <xf borderId="4" fillId="13" fontId="4" numFmtId="10" xfId="0" applyAlignment="1" applyBorder="1" applyFill="1" applyFont="1" applyNumberFormat="1">
      <alignment horizontal="center" shrinkToFit="0" vertical="center" wrapText="1"/>
    </xf>
    <xf borderId="4" fillId="12" fontId="8" numFmtId="0" xfId="0" applyAlignment="1" applyBorder="1" applyFill="1" applyFont="1">
      <alignment horizontal="center" readingOrder="0" shrinkToFit="0" vertical="center" wrapText="1"/>
    </xf>
    <xf borderId="4" fillId="12" fontId="4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14" fontId="8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ill="1" applyFont="1">
      <alignment horizontal="center" shrinkToFit="0" vertical="center" wrapText="1"/>
    </xf>
    <xf borderId="4" fillId="14" fontId="3" numFmtId="0" xfId="0" applyAlignment="1" applyBorder="1" applyFill="1" applyFont="1">
      <alignment horizontal="center" vertical="center"/>
    </xf>
    <xf borderId="4" fillId="14" fontId="4" numFmtId="10" xfId="0" applyAlignment="1" applyBorder="1" applyFill="1" applyFont="1" applyNumberForma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vertical="center"/>
    </xf>
    <xf borderId="4" fillId="8" fontId="4" numFmtId="10" xfId="0" applyAlignment="1" applyBorder="1" applyFill="1" applyFont="1" applyNumberFormat="1">
      <alignment horizontal="center" shrinkToFit="0" vertical="center" wrapText="1"/>
    </xf>
    <xf borderId="0" fillId="0" fontId="4" numFmtId="2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2" fontId="11" numFmtId="0" xfId="0" applyAlignment="1" applyFill="1" applyFont="1">
      <alignment horizontal="center" shrinkToFit="0" vertical="center" wrapText="1"/>
    </xf>
    <xf borderId="0" fillId="0" fontId="3" numFmtId="2" xfId="0" applyAlignment="1" applyFont="1" applyNumberFormat="1">
      <alignment horizontal="center" vertical="center"/>
    </xf>
    <xf borderId="0" fillId="3" fontId="10" numFmtId="0" xfId="0" applyAlignment="1" applyFill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9" xfId="0" applyAlignment="1" applyBorder="1" applyFill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12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1"/>
    </xf>
    <xf borderId="19" fillId="3" fontId="4" numFmtId="0" xfId="0" applyAlignment="1" applyBorder="1" applyFill="1" applyFont="1">
      <alignment horizontal="center" shrinkToFit="0" vertical="center" wrapText="1"/>
    </xf>
    <xf borderId="25" fillId="10" fontId="7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5"/>
      <c r="C2" s="5"/>
      <c r="D2" s="5"/>
      <c r="E2" s="5"/>
      <c r="F2" s="6">
        <v>46260.0</v>
      </c>
      <c r="G2" s="7" t="s">
        <v>1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 t="s">
        <v>3</v>
      </c>
      <c r="D4" s="10">
        <v>0.0</v>
      </c>
      <c r="E4" s="5"/>
      <c r="F4" s="11" t="s">
        <v>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 t="s">
        <v>5</v>
      </c>
      <c r="B5" s="12" t="s">
        <v>6</v>
      </c>
      <c r="D5" s="13" t="s">
        <v>7</v>
      </c>
      <c r="E5" s="5"/>
      <c r="F5" s="12" t="s">
        <v>8</v>
      </c>
      <c r="H5" s="13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2" t="s">
        <v>9</v>
      </c>
      <c r="D6" s="13">
        <v>0.0</v>
      </c>
      <c r="E6" s="5"/>
      <c r="F6" s="12" t="s">
        <v>10</v>
      </c>
      <c r="H6" s="13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4"/>
      <c r="B7" s="2"/>
      <c r="C7" s="2"/>
      <c r="D7" s="2"/>
      <c r="E7" s="2"/>
      <c r="F7" s="2"/>
      <c r="G7" s="2"/>
      <c r="H7" s="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4"/>
      <c r="AB7" s="4"/>
    </row>
    <row r="8">
      <c r="A8" s="16"/>
      <c r="B8" s="18"/>
      <c r="C8" s="18"/>
      <c r="D8" s="18"/>
      <c r="E8" s="18"/>
      <c r="F8" s="18"/>
      <c r="G8" s="18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4"/>
      <c r="AB8" s="4"/>
    </row>
    <row r="9">
      <c r="A9" s="20" t="s">
        <v>11</v>
      </c>
      <c r="B9" s="21"/>
      <c r="C9" s="21"/>
      <c r="D9" s="22"/>
      <c r="E9" s="23" t="s">
        <v>12</v>
      </c>
      <c r="F9" s="21"/>
      <c r="G9" s="21"/>
      <c r="H9" s="2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4" t="s">
        <v>13</v>
      </c>
      <c r="B10" s="25"/>
      <c r="C10" s="25"/>
      <c r="D10" s="26"/>
      <c r="E10" s="24" t="s">
        <v>14</v>
      </c>
      <c r="F10" s="25"/>
      <c r="G10" s="25"/>
      <c r="H10" s="2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7" t="s">
        <v>15</v>
      </c>
      <c r="B11" s="28"/>
      <c r="C11" s="28"/>
      <c r="D11" s="29"/>
      <c r="E11" s="30" t="s">
        <v>15</v>
      </c>
      <c r="F11" s="28"/>
      <c r="G11" s="28"/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44.25" customHeight="1">
      <c r="A12" s="31" t="s">
        <v>17</v>
      </c>
      <c r="B12" s="18"/>
      <c r="C12" s="18"/>
      <c r="D12" s="32"/>
      <c r="E12" s="33" t="s">
        <v>19</v>
      </c>
      <c r="F12" s="18"/>
      <c r="G12" s="18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5.5" customHeight="1">
      <c r="A13" s="35" t="s">
        <v>21</v>
      </c>
      <c r="B13" s="36"/>
      <c r="C13" s="36"/>
      <c r="D13" s="37"/>
      <c r="E13" s="38" t="s">
        <v>21</v>
      </c>
      <c r="F13" s="36"/>
      <c r="G13" s="36"/>
      <c r="H13" s="3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57.75" customHeight="1">
      <c r="A14" s="35" t="s">
        <v>22</v>
      </c>
      <c r="B14" s="36"/>
      <c r="C14" s="36"/>
      <c r="D14" s="37"/>
      <c r="E14" s="38" t="s">
        <v>23</v>
      </c>
      <c r="F14" s="36"/>
      <c r="G14" s="36"/>
      <c r="H14" s="3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39">
        <v>0.6</v>
      </c>
      <c r="B15" s="3"/>
      <c r="C15" s="41" t="s">
        <v>25</v>
      </c>
      <c r="D15" s="42"/>
      <c r="E15" s="39">
        <v>1.0</v>
      </c>
      <c r="F15" s="3"/>
      <c r="G15" s="43" t="s">
        <v>25</v>
      </c>
      <c r="H15" s="4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4"/>
      <c r="B16" s="44"/>
      <c r="C16" s="44"/>
      <c r="D16" s="46"/>
      <c r="E16" s="45"/>
      <c r="F16" s="44"/>
      <c r="G16" s="44"/>
      <c r="H16" s="47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  <c r="AB16" s="4"/>
    </row>
    <row r="17">
      <c r="A17" s="52" t="s">
        <v>27</v>
      </c>
      <c r="B17" s="28"/>
      <c r="C17" s="28"/>
      <c r="D17" s="28"/>
      <c r="E17" s="28"/>
      <c r="F17" s="28"/>
      <c r="G17" s="28"/>
      <c r="H17" s="2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5"/>
      <c r="B18" s="45"/>
      <c r="C18" s="45"/>
      <c r="D18" s="45"/>
      <c r="E18" s="45"/>
      <c r="F18" s="45"/>
      <c r="G18" s="45"/>
      <c r="H18" s="4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4"/>
      <c r="AB18" s="4"/>
    </row>
    <row r="19">
      <c r="A19" s="49" t="s">
        <v>28</v>
      </c>
      <c r="B19" s="36"/>
      <c r="C19" s="36"/>
      <c r="D19" s="55"/>
      <c r="E19" s="56">
        <f>AVERAGE(H20:H25)</f>
        <v>0.45</v>
      </c>
      <c r="F19" s="58" t="str">
        <f>REPT("⭐",ROUND(E19*5,0)) &amp; REPT("☆",5-ROUND(E19*5,0))</f>
        <v>⭐⭐☆☆☆</v>
      </c>
      <c r="G19" s="59"/>
      <c r="H19" s="6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61" t="s">
        <v>31</v>
      </c>
      <c r="E20" s="62"/>
      <c r="F20" s="63" t="s">
        <v>32</v>
      </c>
      <c r="G20" s="64"/>
      <c r="H20" s="65">
        <v>0.7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6"/>
      <c r="E21" s="62"/>
      <c r="F21" s="67" t="s">
        <v>33</v>
      </c>
      <c r="G21" s="64"/>
      <c r="H21" s="65">
        <v>0.5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E22" s="62"/>
      <c r="F22" s="63" t="s">
        <v>34</v>
      </c>
      <c r="G22" s="64"/>
      <c r="H22" s="65">
        <v>0.8</v>
      </c>
      <c r="I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E23" s="62"/>
      <c r="F23" s="67" t="s">
        <v>36</v>
      </c>
      <c r="G23" s="64"/>
      <c r="H23" s="65">
        <v>0.7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E24" s="62"/>
      <c r="F24" s="63" t="s">
        <v>37</v>
      </c>
      <c r="G24" s="64"/>
      <c r="H24" s="65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7.0" customHeight="1">
      <c r="A25" s="70"/>
      <c r="B25" s="71"/>
      <c r="C25" s="71"/>
      <c r="D25" s="71"/>
      <c r="E25" s="72"/>
      <c r="F25" s="63" t="s">
        <v>38</v>
      </c>
      <c r="G25" s="64"/>
      <c r="H25" s="65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5"/>
      <c r="B26" s="45"/>
      <c r="C26" s="45"/>
      <c r="D26" s="45"/>
      <c r="E26" s="74"/>
      <c r="F26" s="75"/>
      <c r="G26" s="75"/>
      <c r="H26" s="7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4"/>
      <c r="AB26" s="4"/>
    </row>
    <row r="27">
      <c r="A27" s="77" t="s">
        <v>44</v>
      </c>
      <c r="B27" s="36"/>
      <c r="C27" s="36"/>
      <c r="D27" s="55"/>
      <c r="E27" s="78">
        <v>1.0</v>
      </c>
      <c r="F27" s="57" t="str">
        <f>REPT("⭐",ROUND(E27*5,0)) &amp; REPT("☆",5-ROUND(E27*5,0))</f>
        <v>⭐⭐⭐⭐⭐</v>
      </c>
      <c r="G27" s="36"/>
      <c r="H27" s="3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75.75" customHeight="1">
      <c r="A28" s="80" t="s">
        <v>45</v>
      </c>
      <c r="B28" s="81"/>
      <c r="C28" s="81"/>
      <c r="D28" s="81"/>
      <c r="E28" s="81"/>
      <c r="F28" s="81"/>
      <c r="G28" s="81"/>
      <c r="H28" s="82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5"/>
      <c r="B29" s="45"/>
      <c r="C29" s="45"/>
      <c r="D29" s="45"/>
      <c r="E29" s="46"/>
      <c r="F29" s="83"/>
      <c r="G29" s="83"/>
      <c r="H29" s="8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4"/>
      <c r="AB29" s="4"/>
    </row>
    <row r="30">
      <c r="A30" s="77" t="s">
        <v>48</v>
      </c>
      <c r="B30" s="36"/>
      <c r="C30" s="36"/>
      <c r="D30" s="55"/>
      <c r="E30" s="78">
        <v>0.5</v>
      </c>
      <c r="F30" s="57" t="str">
        <f>REPT("⭐",ROUND(E30*5,0)) &amp; REPT("☆",5-ROUND(E30*5,0))</f>
        <v>⭐⭐⭐☆☆</v>
      </c>
      <c r="G30" s="36"/>
      <c r="H30" s="3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72.75" customHeight="1">
      <c r="A31" s="80" t="s">
        <v>49</v>
      </c>
      <c r="B31" s="81"/>
      <c r="C31" s="81"/>
      <c r="D31" s="81"/>
      <c r="E31" s="81"/>
      <c r="F31" s="81"/>
      <c r="G31" s="81"/>
      <c r="H31" s="8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5"/>
      <c r="B32" s="45"/>
      <c r="C32" s="45"/>
      <c r="D32" s="45"/>
      <c r="E32" s="46"/>
      <c r="F32" s="83"/>
      <c r="G32" s="83"/>
      <c r="H32" s="83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4"/>
      <c r="AB32" s="4"/>
    </row>
    <row r="33">
      <c r="A33" s="77" t="s">
        <v>50</v>
      </c>
      <c r="B33" s="36"/>
      <c r="C33" s="36"/>
      <c r="D33" s="55"/>
      <c r="E33" s="78">
        <v>1.0</v>
      </c>
      <c r="F33" s="57" t="str">
        <f>REPT("⭐",ROUND(E33*5,0)) &amp; REPT("☆",5-ROUND(E33*5,0))</f>
        <v>⭐⭐⭐⭐⭐</v>
      </c>
      <c r="G33" s="36"/>
      <c r="H33" s="3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54.75" customHeight="1">
      <c r="A34" s="80" t="s">
        <v>53</v>
      </c>
      <c r="B34" s="81"/>
      <c r="C34" s="81"/>
      <c r="D34" s="81"/>
      <c r="E34" s="81"/>
      <c r="F34" s="81"/>
      <c r="G34" s="81"/>
      <c r="H34" s="8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5"/>
      <c r="B35" s="45"/>
      <c r="C35" s="45"/>
      <c r="D35" s="45"/>
      <c r="E35" s="46"/>
      <c r="F35" s="83"/>
      <c r="G35" s="83"/>
      <c r="H35" s="83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4"/>
      <c r="AB35" s="4"/>
    </row>
    <row r="36">
      <c r="A36" s="45"/>
      <c r="B36" s="45"/>
      <c r="C36" s="45"/>
      <c r="D36" s="45"/>
      <c r="E36" s="46"/>
      <c r="F36" s="83"/>
      <c r="G36" s="83"/>
      <c r="H36" s="8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4"/>
      <c r="AB36" s="4"/>
    </row>
    <row r="37">
      <c r="A37" s="84" t="s">
        <v>54</v>
      </c>
      <c r="B37" s="59"/>
      <c r="C37" s="59"/>
      <c r="D37" s="85"/>
      <c r="E37" s="86" t="s">
        <v>56</v>
      </c>
      <c r="F37" s="58" t="str">
        <f>REPT("⭐",ROUND(E37*5,0)) &amp; REPT("☆",5-ROUND(E37*5,0))</f>
        <v>⭐⭐⭐⭐⭐</v>
      </c>
      <c r="G37" s="59"/>
      <c r="H37" s="6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53.25" customHeight="1">
      <c r="A38" s="87" t="s">
        <v>57</v>
      </c>
      <c r="B38" s="81"/>
      <c r="C38" s="81"/>
      <c r="D38" s="81"/>
      <c r="E38" s="81"/>
      <c r="F38" s="81"/>
      <c r="G38" s="81"/>
      <c r="H38" s="82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88"/>
      <c r="B39" s="88"/>
      <c r="C39" s="88"/>
      <c r="D39" s="88"/>
      <c r="E39" s="74"/>
      <c r="F39" s="75"/>
      <c r="G39" s="75"/>
      <c r="H39" s="7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4"/>
      <c r="AB39" s="4"/>
    </row>
    <row r="40">
      <c r="A40" s="45"/>
      <c r="B40" s="45"/>
      <c r="C40" s="45"/>
      <c r="D40" s="45"/>
      <c r="E40" s="46"/>
      <c r="F40" s="83"/>
      <c r="G40" s="83"/>
      <c r="H40" s="83"/>
      <c r="I40" s="15"/>
      <c r="J40" s="15"/>
      <c r="K40" s="15"/>
      <c r="L40" s="15"/>
      <c r="M40" s="89"/>
      <c r="N40" s="90"/>
      <c r="O40" s="90"/>
      <c r="P40" s="90"/>
      <c r="Q40" s="15"/>
      <c r="R40" s="15"/>
      <c r="S40" s="15"/>
      <c r="T40" s="15"/>
      <c r="U40" s="89"/>
      <c r="V40" s="90"/>
      <c r="W40" s="90"/>
      <c r="X40" s="90"/>
      <c r="Y40" s="4"/>
      <c r="Z40" s="4"/>
      <c r="AA40" s="4"/>
      <c r="AB40" s="4"/>
    </row>
    <row r="41">
      <c r="A41" s="77" t="s">
        <v>60</v>
      </c>
      <c r="B41" s="36"/>
      <c r="C41" s="36"/>
      <c r="D41" s="55"/>
      <c r="E41" s="91">
        <v>1.0</v>
      </c>
      <c r="F41" s="57" t="str">
        <f>REPT("⭐",ROUND(E41*5,0)) &amp; REPT("☆",5-ROUND(E41*5,0))</f>
        <v>⭐⭐⭐⭐⭐</v>
      </c>
      <c r="G41" s="36"/>
      <c r="H41" s="3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11.0" customHeight="1">
      <c r="A42" s="80" t="s">
        <v>61</v>
      </c>
      <c r="B42" s="81"/>
      <c r="C42" s="81"/>
      <c r="D42" s="81"/>
      <c r="E42" s="81"/>
      <c r="F42" s="81"/>
      <c r="G42" s="81"/>
      <c r="H42" s="8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5"/>
      <c r="B43" s="45"/>
      <c r="C43" s="45"/>
      <c r="D43" s="45"/>
      <c r="E43" s="83"/>
      <c r="F43" s="83"/>
      <c r="G43" s="83"/>
      <c r="H43" s="83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4"/>
      <c r="AB43" s="4"/>
    </row>
    <row r="44">
      <c r="A44" s="45"/>
      <c r="B44" s="45"/>
      <c r="C44" s="45"/>
      <c r="D44" s="45"/>
      <c r="E44" s="45"/>
      <c r="F44" s="45"/>
      <c r="G44" s="45"/>
      <c r="H44" s="4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4"/>
      <c r="AB44" s="4"/>
    </row>
    <row r="45">
      <c r="A45" s="92" t="s">
        <v>62</v>
      </c>
      <c r="B45" s="2"/>
      <c r="C45" s="2"/>
      <c r="D45" s="2"/>
      <c r="E45" s="2"/>
      <c r="F45" s="2"/>
      <c r="G45" s="2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77" t="s">
        <v>63</v>
      </c>
      <c r="B46" s="36"/>
      <c r="C46" s="36"/>
      <c r="D46" s="55"/>
      <c r="E46" s="91">
        <v>1.0</v>
      </c>
      <c r="F46" s="57" t="str">
        <f>REPT("⭐",ROUND(E46*5,0)) &amp; REPT("☆",5-ROUND(E46*5,0))</f>
        <v>⭐⭐⭐⭐⭐</v>
      </c>
      <c r="G46" s="36"/>
      <c r="H46" s="3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61.5" customHeight="1">
      <c r="A47" s="80" t="s">
        <v>67</v>
      </c>
      <c r="B47" s="81"/>
      <c r="C47" s="81"/>
      <c r="D47" s="81"/>
      <c r="E47" s="81"/>
      <c r="F47" s="81"/>
      <c r="G47" s="81"/>
      <c r="H47" s="82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77" t="s">
        <v>66</v>
      </c>
      <c r="B48" s="36"/>
      <c r="C48" s="36"/>
      <c r="D48" s="55"/>
      <c r="E48" s="91">
        <v>1.0</v>
      </c>
      <c r="F48" s="57" t="str">
        <f>REPT("⭐",ROUND(E48*5,0)) &amp; REPT("☆",5-ROUND(E48*5,0))</f>
        <v>⭐⭐⭐⭐⭐</v>
      </c>
      <c r="G48" s="36"/>
      <c r="H48" s="3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5.25" customHeight="1">
      <c r="A49" s="87" t="s">
        <v>65</v>
      </c>
      <c r="B49" s="81"/>
      <c r="C49" s="81"/>
      <c r="D49" s="81"/>
      <c r="E49" s="81"/>
      <c r="F49" s="81"/>
      <c r="G49" s="81"/>
      <c r="H49" s="82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5"/>
      <c r="B50" s="45"/>
      <c r="C50" s="45"/>
      <c r="D50" s="45"/>
      <c r="E50" s="45"/>
      <c r="F50" s="45"/>
      <c r="G50" s="45"/>
      <c r="H50" s="4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4"/>
      <c r="AB50" s="4"/>
    </row>
    <row r="51">
      <c r="A51" s="92" t="s">
        <v>68</v>
      </c>
      <c r="B51" s="2"/>
      <c r="C51" s="2"/>
      <c r="D51" s="2"/>
      <c r="E51" s="2"/>
      <c r="F51" s="3"/>
      <c r="G51" s="93">
        <f>F2</f>
        <v>46260</v>
      </c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94" t="s">
        <v>70</v>
      </c>
      <c r="B52" s="105">
        <f>B53+B54</f>
        <v>35</v>
      </c>
      <c r="C52" s="96"/>
      <c r="D52" s="94" t="s">
        <v>71</v>
      </c>
      <c r="E52" s="95">
        <f>E53+E54</f>
        <v>12</v>
      </c>
      <c r="F52" s="96"/>
      <c r="G52" s="95" t="s">
        <v>72</v>
      </c>
      <c r="H52" s="97">
        <f t="shared" ref="H52:H54" si="1">E52/B52</f>
        <v>0.3428571429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8" t="s">
        <v>73</v>
      </c>
      <c r="B53" s="102">
        <v>15.0</v>
      </c>
      <c r="C53" s="100"/>
      <c r="D53" s="101" t="s">
        <v>74</v>
      </c>
      <c r="E53" s="102">
        <v>0.0</v>
      </c>
      <c r="F53" s="100"/>
      <c r="G53" s="99" t="s">
        <v>72</v>
      </c>
      <c r="H53" s="103">
        <f t="shared" si="1"/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4" t="s">
        <v>75</v>
      </c>
      <c r="B54" s="105">
        <f>600/30</f>
        <v>20</v>
      </c>
      <c r="C54" s="96"/>
      <c r="D54" s="104" t="s">
        <v>76</v>
      </c>
      <c r="E54" s="105">
        <v>12.0</v>
      </c>
      <c r="F54" s="96"/>
      <c r="G54" s="95" t="s">
        <v>72</v>
      </c>
      <c r="H54" s="97">
        <f t="shared" si="1"/>
        <v>0.6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2" t="s">
        <v>77</v>
      </c>
      <c r="B55" s="2"/>
      <c r="C55" s="2"/>
      <c r="D55" s="2"/>
      <c r="E55" s="2"/>
      <c r="F55" s="3"/>
      <c r="G55" s="93">
        <f>G51</f>
        <v>46260</v>
      </c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106" t="s">
        <v>78</v>
      </c>
      <c r="G56" s="106" t="s">
        <v>79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7" t="s">
        <v>70</v>
      </c>
      <c r="B57" s="108"/>
      <c r="C57" s="109"/>
      <c r="D57" s="107" t="s">
        <v>71</v>
      </c>
      <c r="E57" s="108">
        <f>SUM(E58:E59)</f>
        <v>0</v>
      </c>
      <c r="F57" s="109"/>
      <c r="G57" s="108" t="s">
        <v>72</v>
      </c>
      <c r="H57" s="11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11" t="s">
        <v>73</v>
      </c>
      <c r="B58" s="112"/>
      <c r="C58" s="113"/>
      <c r="D58" s="111" t="s">
        <v>80</v>
      </c>
      <c r="E58" s="112"/>
      <c r="F58" s="113"/>
      <c r="G58" s="112" t="s">
        <v>72</v>
      </c>
      <c r="H58" s="11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11" t="s">
        <v>75</v>
      </c>
      <c r="B59" s="112"/>
      <c r="C59" s="113"/>
      <c r="D59" s="111" t="s">
        <v>81</v>
      </c>
      <c r="E59" s="112"/>
      <c r="F59" s="113"/>
      <c r="G59" s="112" t="s">
        <v>72</v>
      </c>
      <c r="H59" s="11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92" t="s">
        <v>82</v>
      </c>
      <c r="B60" s="2"/>
      <c r="C60" s="2"/>
      <c r="D60" s="2"/>
      <c r="E60" s="2"/>
      <c r="F60" s="3"/>
      <c r="G60" s="93">
        <v>46203.0</v>
      </c>
      <c r="H60" s="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12" t="s">
        <v>70</v>
      </c>
      <c r="D61" s="115"/>
      <c r="G61" s="12" t="s">
        <v>83</v>
      </c>
      <c r="H61" s="116" t="str">
        <f>E57/D61</f>
        <v>#DIV/0!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17" t="str">
        <f>IF(H61&lt;=70%,"خسائر",IF(H61&lt;=80%,"مقبول",IF(H61&lt;=100%,"مكسب","فوق المتوقع")))</f>
        <v>#DIV/0!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92" t="s">
        <v>84</v>
      </c>
      <c r="B63" s="2"/>
      <c r="C63" s="2"/>
      <c r="D63" s="3"/>
      <c r="E63" s="92" t="s">
        <v>85</v>
      </c>
      <c r="F63" s="2"/>
      <c r="G63" s="2"/>
      <c r="H63" s="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106" t="s">
        <v>70</v>
      </c>
      <c r="D64" s="115">
        <v>2460.0</v>
      </c>
      <c r="G64" s="5"/>
      <c r="H64" s="11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17" t="str">
        <f>IF(E57&lt;D64,"سالب",IF(E57&gt;D64,"موجب",IF(E57=D64,"نقطة امان","يوجد خطأ")))</f>
        <v>سالب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92" t="s">
        <v>86</v>
      </c>
      <c r="B66" s="2"/>
      <c r="C66" s="2"/>
      <c r="D66" s="3"/>
      <c r="E66" s="92" t="s">
        <v>87</v>
      </c>
      <c r="F66" s="2"/>
      <c r="G66" s="2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117" t="str">
        <f>IF(E57&gt;=2460,"high", "low")</f>
        <v>low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19"/>
      <c r="E68" s="119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20"/>
      <c r="B69" s="121"/>
      <c r="C69" s="122"/>
      <c r="D69" s="15"/>
      <c r="E69" s="123"/>
      <c r="F69" s="3"/>
      <c r="G69" s="122"/>
      <c r="H69" s="8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20"/>
      <c r="B70" s="121"/>
      <c r="C70" s="122"/>
      <c r="D70" s="15"/>
      <c r="E70" s="123"/>
      <c r="F70" s="3"/>
      <c r="G70" s="122"/>
      <c r="H70" s="8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20"/>
      <c r="B71" s="121"/>
      <c r="C71" s="122"/>
      <c r="D71" s="15"/>
      <c r="E71" s="123"/>
      <c r="F71" s="3"/>
      <c r="G71" s="122"/>
      <c r="H71" s="8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20"/>
      <c r="B72" s="121"/>
      <c r="C72" s="122"/>
      <c r="D72" s="15"/>
      <c r="E72" s="123"/>
      <c r="F72" s="3"/>
      <c r="G72" s="122"/>
      <c r="H72" s="8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5"/>
      <c r="B73" s="15"/>
      <c r="C73" s="90"/>
      <c r="D73" s="15"/>
      <c r="E73" s="123"/>
      <c r="F73" s="3"/>
      <c r="G73" s="122"/>
      <c r="H73" s="8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124"/>
      <c r="B75" s="2"/>
      <c r="C75" s="2"/>
      <c r="D75" s="2"/>
      <c r="E75" s="2"/>
      <c r="F75" s="3"/>
      <c r="G75" s="124"/>
      <c r="H75" s="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119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25"/>
      <c r="C77" s="4"/>
      <c r="D77" s="4"/>
      <c r="E77" s="4"/>
      <c r="F77" s="4"/>
      <c r="G77" s="12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125"/>
      <c r="E78" s="125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5"/>
      <c r="B79" s="15"/>
      <c r="C79" s="15"/>
      <c r="D79" s="15"/>
      <c r="E79" s="15"/>
      <c r="F79" s="15"/>
      <c r="G79" s="15"/>
      <c r="H79" s="1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25"/>
      <c r="D80" s="126"/>
      <c r="E80" s="37"/>
      <c r="F80" s="12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5"/>
      <c r="B81" s="15"/>
      <c r="C81" s="15"/>
      <c r="D81" s="15"/>
      <c r="E81" s="15"/>
      <c r="F81" s="15"/>
      <c r="G81" s="15"/>
      <c r="H81" s="1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25"/>
      <c r="D82" s="4"/>
      <c r="E82" s="12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25"/>
      <c r="E83" s="12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2"/>
      <c r="E84" s="12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E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2"/>
      <c r="E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E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/>
      <c r="B88" s="5"/>
      <c r="C88" s="5"/>
      <c r="D88" s="5"/>
      <c r="E88" s="5"/>
      <c r="F88" s="5"/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</sheetData>
  <mergeCells count="105">
    <mergeCell ref="F5:G5"/>
    <mergeCell ref="F6:G6"/>
    <mergeCell ref="A1:H1"/>
    <mergeCell ref="A3:H3"/>
    <mergeCell ref="A4:C4"/>
    <mergeCell ref="F4:H4"/>
    <mergeCell ref="A5:A6"/>
    <mergeCell ref="B5:C5"/>
    <mergeCell ref="B6:C6"/>
    <mergeCell ref="A11:D11"/>
    <mergeCell ref="A12:D12"/>
    <mergeCell ref="A13:D13"/>
    <mergeCell ref="A14:D14"/>
    <mergeCell ref="A15:B15"/>
    <mergeCell ref="C15:D15"/>
    <mergeCell ref="A7:H7"/>
    <mergeCell ref="A8:H8"/>
    <mergeCell ref="A9:D9"/>
    <mergeCell ref="E9:H9"/>
    <mergeCell ref="A10:D10"/>
    <mergeCell ref="E10:H10"/>
    <mergeCell ref="E11:H11"/>
    <mergeCell ref="F20:G20"/>
    <mergeCell ref="F21:G21"/>
    <mergeCell ref="F22:G22"/>
    <mergeCell ref="F23:G23"/>
    <mergeCell ref="F24:G24"/>
    <mergeCell ref="F25:G25"/>
    <mergeCell ref="F27:H27"/>
    <mergeCell ref="E12:H12"/>
    <mergeCell ref="E13:H13"/>
    <mergeCell ref="E14:H14"/>
    <mergeCell ref="E15:F15"/>
    <mergeCell ref="G15:H15"/>
    <mergeCell ref="A17:H17"/>
    <mergeCell ref="F19:H19"/>
    <mergeCell ref="A19:C19"/>
    <mergeCell ref="A20:E25"/>
    <mergeCell ref="A27:C27"/>
    <mergeCell ref="A28:H28"/>
    <mergeCell ref="A30:C30"/>
    <mergeCell ref="F30:H30"/>
    <mergeCell ref="A31:H31"/>
    <mergeCell ref="A75:F75"/>
    <mergeCell ref="G75:H75"/>
    <mergeCell ref="E76:H76"/>
    <mergeCell ref="A78:D78"/>
    <mergeCell ref="E78:H78"/>
    <mergeCell ref="D80:E80"/>
    <mergeCell ref="F80:H80"/>
    <mergeCell ref="A80:C80"/>
    <mergeCell ref="A82:C82"/>
    <mergeCell ref="E82:H82"/>
    <mergeCell ref="A83:D83"/>
    <mergeCell ref="E83:H83"/>
    <mergeCell ref="A84:D84"/>
    <mergeCell ref="E84:H84"/>
    <mergeCell ref="A33:C33"/>
    <mergeCell ref="F33:H33"/>
    <mergeCell ref="A34:H34"/>
    <mergeCell ref="A37:C37"/>
    <mergeCell ref="F37:H37"/>
    <mergeCell ref="A38:H38"/>
    <mergeCell ref="A41:C41"/>
    <mergeCell ref="F41:H41"/>
    <mergeCell ref="A42:H42"/>
    <mergeCell ref="A45:H45"/>
    <mergeCell ref="A46:C46"/>
    <mergeCell ref="F46:H46"/>
    <mergeCell ref="A47:H47"/>
    <mergeCell ref="A48:C48"/>
    <mergeCell ref="F48:H48"/>
    <mergeCell ref="A49:H49"/>
    <mergeCell ref="A51:F51"/>
    <mergeCell ref="G51:H51"/>
    <mergeCell ref="A55:F55"/>
    <mergeCell ref="G55:H55"/>
    <mergeCell ref="G56:H56"/>
    <mergeCell ref="A56:F56"/>
    <mergeCell ref="A60:F60"/>
    <mergeCell ref="G60:H60"/>
    <mergeCell ref="A61:C61"/>
    <mergeCell ref="D61:F61"/>
    <mergeCell ref="A62:H62"/>
    <mergeCell ref="E63:H63"/>
    <mergeCell ref="A63:D63"/>
    <mergeCell ref="A64:C64"/>
    <mergeCell ref="D64:F64"/>
    <mergeCell ref="A65:H65"/>
    <mergeCell ref="A66:D66"/>
    <mergeCell ref="E66:H66"/>
    <mergeCell ref="A67:H67"/>
    <mergeCell ref="A68:D68"/>
    <mergeCell ref="E68:H68"/>
    <mergeCell ref="E69:F69"/>
    <mergeCell ref="E70:F70"/>
    <mergeCell ref="E71:F71"/>
    <mergeCell ref="E72:F72"/>
    <mergeCell ref="E73:F73"/>
    <mergeCell ref="A85:D85"/>
    <mergeCell ref="E85:H85"/>
    <mergeCell ref="A86:D86"/>
    <mergeCell ref="E86:H86"/>
    <mergeCell ref="A87:D87"/>
    <mergeCell ref="E87:H8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5"/>
      <c r="C2" s="5"/>
      <c r="D2" s="5"/>
      <c r="E2" s="5"/>
      <c r="F2" s="6">
        <v>46259.0</v>
      </c>
      <c r="G2" s="7" t="s">
        <v>1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 t="s">
        <v>3</v>
      </c>
      <c r="D4" s="10">
        <v>0.0</v>
      </c>
      <c r="E4" s="5"/>
      <c r="F4" s="11" t="s">
        <v>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 t="s">
        <v>5</v>
      </c>
      <c r="B5" s="12" t="s">
        <v>6</v>
      </c>
      <c r="D5" s="13" t="s">
        <v>7</v>
      </c>
      <c r="E5" s="5"/>
      <c r="F5" s="12" t="s">
        <v>8</v>
      </c>
      <c r="H5" s="13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2" t="s">
        <v>9</v>
      </c>
      <c r="D6" s="13">
        <v>0.0</v>
      </c>
      <c r="E6" s="5"/>
      <c r="F6" s="12" t="s">
        <v>10</v>
      </c>
      <c r="H6" s="13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4"/>
      <c r="B7" s="2"/>
      <c r="C7" s="2"/>
      <c r="D7" s="2"/>
      <c r="E7" s="2"/>
      <c r="F7" s="2"/>
      <c r="G7" s="2"/>
      <c r="H7" s="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4"/>
      <c r="AB7" s="4"/>
    </row>
    <row r="8">
      <c r="A8" s="16"/>
      <c r="B8" s="18"/>
      <c r="C8" s="18"/>
      <c r="D8" s="18"/>
      <c r="E8" s="18"/>
      <c r="F8" s="18"/>
      <c r="G8" s="18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4"/>
      <c r="AB8" s="4"/>
    </row>
    <row r="9">
      <c r="A9" s="20" t="s">
        <v>11</v>
      </c>
      <c r="B9" s="21"/>
      <c r="C9" s="21"/>
      <c r="D9" s="22"/>
      <c r="E9" s="23" t="s">
        <v>12</v>
      </c>
      <c r="F9" s="21"/>
      <c r="G9" s="21"/>
      <c r="H9" s="2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4" t="s">
        <v>13</v>
      </c>
      <c r="B10" s="25"/>
      <c r="C10" s="25"/>
      <c r="D10" s="26"/>
      <c r="E10" s="24" t="s">
        <v>14</v>
      </c>
      <c r="F10" s="25"/>
      <c r="G10" s="25"/>
      <c r="H10" s="2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7" t="s">
        <v>15</v>
      </c>
      <c r="B11" s="28"/>
      <c r="C11" s="28"/>
      <c r="D11" s="29"/>
      <c r="E11" s="30" t="s">
        <v>15</v>
      </c>
      <c r="F11" s="28"/>
      <c r="G11" s="28"/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44.25" customHeight="1">
      <c r="A12" s="34"/>
      <c r="B12" s="18"/>
      <c r="C12" s="18"/>
      <c r="D12" s="32"/>
      <c r="E12" s="33"/>
      <c r="F12" s="18"/>
      <c r="G12" s="18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5.5" customHeight="1">
      <c r="A13" s="35" t="s">
        <v>21</v>
      </c>
      <c r="B13" s="36"/>
      <c r="C13" s="36"/>
      <c r="D13" s="37"/>
      <c r="E13" s="38" t="s">
        <v>21</v>
      </c>
      <c r="F13" s="36"/>
      <c r="G13" s="36"/>
      <c r="H13" s="3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57.75" customHeight="1">
      <c r="A14" s="35"/>
      <c r="B14" s="36"/>
      <c r="C14" s="36"/>
      <c r="D14" s="37"/>
      <c r="E14" s="38"/>
      <c r="F14" s="36"/>
      <c r="G14" s="36"/>
      <c r="H14" s="3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0">
        <v>50.0</v>
      </c>
      <c r="B15" s="3"/>
      <c r="C15" s="41" t="s">
        <v>25</v>
      </c>
      <c r="D15" s="42"/>
      <c r="E15" s="39">
        <v>0.8</v>
      </c>
      <c r="F15" s="3"/>
      <c r="G15" s="43" t="s">
        <v>25</v>
      </c>
      <c r="H15" s="4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5"/>
      <c r="B16" s="45"/>
      <c r="C16" s="45"/>
      <c r="D16" s="46"/>
      <c r="E16" s="45"/>
      <c r="F16" s="45"/>
      <c r="G16" s="45"/>
      <c r="H16" s="4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  <c r="AB16" s="4"/>
    </row>
    <row r="17">
      <c r="A17" s="49" t="s">
        <v>26</v>
      </c>
      <c r="B17" s="36"/>
      <c r="C17" s="36"/>
      <c r="D17" s="51"/>
      <c r="E17" s="53">
        <v>0.9</v>
      </c>
      <c r="F17" s="57" t="str">
        <f>REPT("⭐",ROUND(E17*5,0)) &amp; REPT("☆",5-ROUND(E17*5,0))</f>
        <v>⭐⭐⭐⭐⭐</v>
      </c>
      <c r="G17" s="36"/>
      <c r="H17" s="3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57.0" customHeight="1">
      <c r="A18" s="52"/>
      <c r="B18" s="28"/>
      <c r="C18" s="28"/>
      <c r="D18" s="28"/>
      <c r="E18" s="28"/>
      <c r="F18" s="28"/>
      <c r="G18" s="28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5"/>
      <c r="B19" s="45"/>
      <c r="C19" s="45"/>
      <c r="D19" s="45"/>
      <c r="E19" s="45"/>
      <c r="F19" s="45"/>
      <c r="G19" s="45"/>
      <c r="H19" s="4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4"/>
      <c r="AB19" s="4"/>
    </row>
    <row r="20">
      <c r="A20" s="49" t="s">
        <v>28</v>
      </c>
      <c r="B20" s="36"/>
      <c r="C20" s="36"/>
      <c r="D20" s="55"/>
      <c r="E20" s="56">
        <v>0.6</v>
      </c>
      <c r="F20" s="58" t="str">
        <f>REPT("⭐",ROUND(E20*5,0)) &amp; REPT("☆",5-ROUND(E20*5,0))</f>
        <v>⭐⭐⭐☆☆</v>
      </c>
      <c r="G20" s="59"/>
      <c r="H20" s="6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1"/>
      <c r="D21" s="68"/>
      <c r="E21" s="69">
        <v>0.0</v>
      </c>
      <c r="F21" s="63" t="s">
        <v>32</v>
      </c>
      <c r="G21" s="64"/>
      <c r="H21" s="73" t="s">
        <v>46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D22" s="68"/>
      <c r="E22" s="69">
        <v>0.0</v>
      </c>
      <c r="F22" s="63" t="s">
        <v>34</v>
      </c>
      <c r="G22" s="64"/>
      <c r="H22" s="73" t="s">
        <v>42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D23" s="68"/>
      <c r="E23" s="69">
        <v>0.0</v>
      </c>
      <c r="F23" s="63" t="s">
        <v>38</v>
      </c>
      <c r="G23" s="64"/>
      <c r="H23" s="73" t="s">
        <v>40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D24" s="68"/>
      <c r="E24" s="76">
        <v>0.0</v>
      </c>
      <c r="F24" s="63" t="s">
        <v>41</v>
      </c>
      <c r="G24" s="64"/>
      <c r="H24" s="73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D25" s="68"/>
      <c r="E25" s="76">
        <v>0.0</v>
      </c>
      <c r="F25" s="67" t="s">
        <v>36</v>
      </c>
      <c r="G25" s="64"/>
      <c r="H25" s="73" t="s">
        <v>46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79"/>
      <c r="B26" s="28"/>
      <c r="C26" s="28"/>
      <c r="D26" s="29"/>
      <c r="E26" s="76">
        <v>0.0</v>
      </c>
      <c r="F26" s="63" t="s">
        <v>37</v>
      </c>
      <c r="G26" s="64"/>
      <c r="H26" s="73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5"/>
      <c r="B27" s="45"/>
      <c r="C27" s="45"/>
      <c r="D27" s="45"/>
      <c r="E27" s="74"/>
      <c r="F27" s="75"/>
      <c r="G27" s="75"/>
      <c r="H27" s="7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4"/>
      <c r="AB27" s="4"/>
    </row>
    <row r="28">
      <c r="A28" s="77" t="s">
        <v>44</v>
      </c>
      <c r="B28" s="36"/>
      <c r="C28" s="36"/>
      <c r="D28" s="55"/>
      <c r="E28" s="78">
        <v>0.7</v>
      </c>
      <c r="F28" s="57" t="str">
        <f>REPT("⭐",ROUND(E28*5,0)) &amp; REPT("☆",5-ROUND(E28*5,0))</f>
        <v>⭐⭐⭐⭐☆</v>
      </c>
      <c r="G28" s="36"/>
      <c r="H28" s="3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75.75" customHeight="1">
      <c r="A29" s="80"/>
      <c r="B29" s="81"/>
      <c r="C29" s="81"/>
      <c r="D29" s="81"/>
      <c r="E29" s="81"/>
      <c r="F29" s="81"/>
      <c r="G29" s="81"/>
      <c r="H29" s="8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5"/>
      <c r="B30" s="45"/>
      <c r="C30" s="45"/>
      <c r="D30" s="45"/>
      <c r="E30" s="46"/>
      <c r="F30" s="83"/>
      <c r="G30" s="83"/>
      <c r="H30" s="8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"/>
      <c r="AB30" s="4"/>
    </row>
    <row r="31">
      <c r="A31" s="77" t="s">
        <v>48</v>
      </c>
      <c r="B31" s="36"/>
      <c r="C31" s="36"/>
      <c r="D31" s="55"/>
      <c r="E31" s="78">
        <v>0.6</v>
      </c>
      <c r="F31" s="57" t="str">
        <f>REPT("⭐",ROUND(E31*5,0)) &amp; REPT("☆",5-ROUND(E31*5,0))</f>
        <v>⭐⭐⭐☆☆</v>
      </c>
      <c r="G31" s="36"/>
      <c r="H31" s="3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72.75" customHeight="1">
      <c r="A32" s="80"/>
      <c r="B32" s="81"/>
      <c r="C32" s="81"/>
      <c r="D32" s="81"/>
      <c r="E32" s="81"/>
      <c r="F32" s="81"/>
      <c r="G32" s="81"/>
      <c r="H32" s="8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5"/>
      <c r="B33" s="45"/>
      <c r="C33" s="45"/>
      <c r="D33" s="45"/>
      <c r="E33" s="46"/>
      <c r="F33" s="83"/>
      <c r="G33" s="83"/>
      <c r="H33" s="8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4"/>
      <c r="AB33" s="4"/>
    </row>
    <row r="34">
      <c r="A34" s="77" t="s">
        <v>50</v>
      </c>
      <c r="B34" s="36"/>
      <c r="C34" s="36"/>
      <c r="D34" s="55"/>
      <c r="E34" s="53">
        <v>0.9</v>
      </c>
      <c r="F34" s="57" t="str">
        <f>REPT("⭐",ROUND(E34*5,0)) &amp; REPT("☆",5-ROUND(E34*5,0))</f>
        <v>⭐⭐⭐⭐⭐</v>
      </c>
      <c r="G34" s="36"/>
      <c r="H34" s="3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54.75" customHeight="1">
      <c r="A35" s="80"/>
      <c r="B35" s="81"/>
      <c r="C35" s="81"/>
      <c r="D35" s="81"/>
      <c r="E35" s="81"/>
      <c r="F35" s="81"/>
      <c r="G35" s="81"/>
      <c r="H35" s="8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5"/>
      <c r="B36" s="45"/>
      <c r="C36" s="45"/>
      <c r="D36" s="45"/>
      <c r="E36" s="46"/>
      <c r="F36" s="83"/>
      <c r="G36" s="83"/>
      <c r="H36" s="8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4"/>
      <c r="AB36" s="4"/>
    </row>
    <row r="37">
      <c r="A37" s="45"/>
      <c r="B37" s="45"/>
      <c r="C37" s="45"/>
      <c r="D37" s="45"/>
      <c r="E37" s="46"/>
      <c r="F37" s="83"/>
      <c r="G37" s="83"/>
      <c r="H37" s="8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"/>
      <c r="AB37" s="4"/>
    </row>
    <row r="38">
      <c r="A38" s="84" t="s">
        <v>54</v>
      </c>
      <c r="B38" s="59"/>
      <c r="C38" s="59"/>
      <c r="D38" s="85"/>
      <c r="E38" s="86" t="s">
        <v>56</v>
      </c>
      <c r="F38" s="58" t="str">
        <f>REPT("⭐",ROUND(E38*5,0)) &amp; REPT("☆",5-ROUND(E38*5,0))</f>
        <v>⭐⭐⭐⭐⭐</v>
      </c>
      <c r="G38" s="59"/>
      <c r="H38" s="6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53.25" customHeight="1">
      <c r="A39" s="87"/>
      <c r="B39" s="81"/>
      <c r="C39" s="81"/>
      <c r="D39" s="81"/>
      <c r="E39" s="81"/>
      <c r="F39" s="81"/>
      <c r="G39" s="81"/>
      <c r="H39" s="8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8"/>
      <c r="B40" s="88"/>
      <c r="C40" s="88"/>
      <c r="D40" s="88"/>
      <c r="E40" s="74"/>
      <c r="F40" s="75"/>
      <c r="G40" s="75"/>
      <c r="H40" s="7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4"/>
      <c r="AB40" s="4"/>
    </row>
    <row r="41">
      <c r="A41" s="45"/>
      <c r="B41" s="45"/>
      <c r="C41" s="45"/>
      <c r="D41" s="45"/>
      <c r="E41" s="46"/>
      <c r="F41" s="83"/>
      <c r="G41" s="83"/>
      <c r="H41" s="83"/>
      <c r="I41" s="15"/>
      <c r="J41" s="15"/>
      <c r="K41" s="15"/>
      <c r="L41" s="15"/>
      <c r="M41" s="89"/>
      <c r="N41" s="90"/>
      <c r="O41" s="90"/>
      <c r="P41" s="90"/>
      <c r="Q41" s="15"/>
      <c r="R41" s="15"/>
      <c r="S41" s="15"/>
      <c r="T41" s="15"/>
      <c r="U41" s="89"/>
      <c r="V41" s="90"/>
      <c r="W41" s="90"/>
      <c r="X41" s="90"/>
      <c r="Y41" s="4"/>
      <c r="Z41" s="4"/>
      <c r="AA41" s="4"/>
      <c r="AB41" s="4"/>
    </row>
    <row r="42">
      <c r="A42" s="77" t="s">
        <v>60</v>
      </c>
      <c r="B42" s="36"/>
      <c r="C42" s="36"/>
      <c r="D42" s="55"/>
      <c r="E42" s="91">
        <v>1.0</v>
      </c>
      <c r="F42" s="57" t="str">
        <f>REPT("⭐",ROUND(E42*5,0)) &amp; REPT("☆",5-ROUND(E42*5,0))</f>
        <v>⭐⭐⭐⭐⭐</v>
      </c>
      <c r="G42" s="36"/>
      <c r="H42" s="3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11.0" customHeight="1">
      <c r="A43" s="80"/>
      <c r="B43" s="81"/>
      <c r="C43" s="81"/>
      <c r="D43" s="81"/>
      <c r="E43" s="81"/>
      <c r="F43" s="81"/>
      <c r="G43" s="81"/>
      <c r="H43" s="8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5"/>
      <c r="B44" s="45"/>
      <c r="C44" s="45"/>
      <c r="D44" s="45"/>
      <c r="E44" s="83"/>
      <c r="F44" s="83"/>
      <c r="G44" s="83"/>
      <c r="H44" s="8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4"/>
      <c r="AB44" s="4"/>
    </row>
    <row r="45">
      <c r="A45" s="45"/>
      <c r="B45" s="45"/>
      <c r="C45" s="45"/>
      <c r="D45" s="45"/>
      <c r="E45" s="45"/>
      <c r="F45" s="45"/>
      <c r="G45" s="45"/>
      <c r="H45" s="4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4"/>
      <c r="AB45" s="4"/>
    </row>
    <row r="46">
      <c r="A46" s="92" t="s">
        <v>62</v>
      </c>
      <c r="B46" s="2"/>
      <c r="C46" s="2"/>
      <c r="D46" s="2"/>
      <c r="E46" s="2"/>
      <c r="F46" s="2"/>
      <c r="G46" s="2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7" t="s">
        <v>63</v>
      </c>
      <c r="B47" s="36"/>
      <c r="C47" s="36"/>
      <c r="D47" s="55"/>
      <c r="E47" s="53"/>
      <c r="F47" s="57" t="str">
        <f>REPT("⭐",ROUND(E47*5,0)) &amp; REPT("☆",5-ROUND(E47*5,0))</f>
        <v>☆☆☆☆☆</v>
      </c>
      <c r="G47" s="36"/>
      <c r="H47" s="3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61.5" customHeight="1">
      <c r="A48" s="80"/>
      <c r="B48" s="81"/>
      <c r="C48" s="81"/>
      <c r="D48" s="81"/>
      <c r="E48" s="81"/>
      <c r="F48" s="81"/>
      <c r="G48" s="81"/>
      <c r="H48" s="8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7" t="s">
        <v>66</v>
      </c>
      <c r="B49" s="36"/>
      <c r="C49" s="36"/>
      <c r="D49" s="55"/>
      <c r="E49" s="53"/>
      <c r="F49" s="57" t="str">
        <f>REPT("⭐",ROUND(E49*5,0)) &amp; REPT("☆",5-ROUND(E49*5,0))</f>
        <v>☆☆☆☆☆</v>
      </c>
      <c r="G49" s="36"/>
      <c r="H49" s="3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5.25" customHeight="1">
      <c r="A50" s="87" t="s">
        <v>65</v>
      </c>
      <c r="B50" s="81"/>
      <c r="C50" s="81"/>
      <c r="D50" s="81"/>
      <c r="E50" s="81"/>
      <c r="F50" s="81"/>
      <c r="G50" s="81"/>
      <c r="H50" s="8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5"/>
      <c r="B51" s="45"/>
      <c r="C51" s="45"/>
      <c r="D51" s="45"/>
      <c r="E51" s="45"/>
      <c r="F51" s="45"/>
      <c r="G51" s="45"/>
      <c r="H51" s="4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4"/>
      <c r="AB51" s="4"/>
    </row>
    <row r="52">
      <c r="A52" s="92" t="s">
        <v>68</v>
      </c>
      <c r="B52" s="2"/>
      <c r="C52" s="2"/>
      <c r="D52" s="2"/>
      <c r="E52" s="2"/>
      <c r="F52" s="3"/>
      <c r="G52" s="93">
        <v>46204.0</v>
      </c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4" t="s">
        <v>70</v>
      </c>
      <c r="B53" s="95">
        <v>45.0</v>
      </c>
      <c r="C53" s="96"/>
      <c r="D53" s="94" t="s">
        <v>71</v>
      </c>
      <c r="E53" s="95">
        <f>SUM(E54:E55)</f>
        <v>0</v>
      </c>
      <c r="F53" s="96"/>
      <c r="G53" s="95" t="s">
        <v>72</v>
      </c>
      <c r="H53" s="97">
        <f t="shared" ref="H53:H55" si="1">E53/B53</f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8" t="s">
        <v>73</v>
      </c>
      <c r="B54" s="99">
        <v>40.0</v>
      </c>
      <c r="C54" s="100"/>
      <c r="D54" s="101" t="s">
        <v>74</v>
      </c>
      <c r="E54" s="102">
        <v>0.0</v>
      </c>
      <c r="F54" s="100"/>
      <c r="G54" s="99" t="s">
        <v>72</v>
      </c>
      <c r="H54" s="103">
        <f t="shared" si="1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4" t="s">
        <v>75</v>
      </c>
      <c r="B55" s="95">
        <v>5.0</v>
      </c>
      <c r="C55" s="96"/>
      <c r="D55" s="104" t="s">
        <v>76</v>
      </c>
      <c r="E55" s="105">
        <v>0.0</v>
      </c>
      <c r="F55" s="96"/>
      <c r="G55" s="95" t="s">
        <v>72</v>
      </c>
      <c r="H55" s="97">
        <f t="shared" si="1"/>
        <v>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2" t="s">
        <v>77</v>
      </c>
      <c r="B56" s="2"/>
      <c r="C56" s="2"/>
      <c r="D56" s="2"/>
      <c r="E56" s="2"/>
      <c r="F56" s="3"/>
      <c r="G56" s="93">
        <v>46203.0</v>
      </c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6" t="s">
        <v>78</v>
      </c>
      <c r="G57" s="106" t="s">
        <v>79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7" t="s">
        <v>70</v>
      </c>
      <c r="B58" s="108">
        <f>B59+B60</f>
        <v>12000</v>
      </c>
      <c r="C58" s="109"/>
      <c r="D58" s="107" t="s">
        <v>71</v>
      </c>
      <c r="E58" s="108">
        <f>SUM(E59:E60)</f>
        <v>0</v>
      </c>
      <c r="F58" s="109"/>
      <c r="G58" s="108" t="s">
        <v>72</v>
      </c>
      <c r="H58" s="110">
        <f t="shared" ref="H58:H60" si="2">E58/B58</f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11" t="s">
        <v>73</v>
      </c>
      <c r="B59" s="112">
        <v>5000.0</v>
      </c>
      <c r="C59" s="113"/>
      <c r="D59" s="111" t="s">
        <v>80</v>
      </c>
      <c r="E59" s="112"/>
      <c r="F59" s="113"/>
      <c r="G59" s="112" t="s">
        <v>72</v>
      </c>
      <c r="H59" s="114">
        <f t="shared" si="2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11" t="s">
        <v>75</v>
      </c>
      <c r="B60" s="112">
        <v>7000.0</v>
      </c>
      <c r="C60" s="113"/>
      <c r="D60" s="111" t="s">
        <v>81</v>
      </c>
      <c r="E60" s="112"/>
      <c r="F60" s="113"/>
      <c r="G60" s="112" t="s">
        <v>72</v>
      </c>
      <c r="H60" s="114">
        <f t="shared" si="2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2" t="s">
        <v>82</v>
      </c>
      <c r="B61" s="2"/>
      <c r="C61" s="2"/>
      <c r="D61" s="2"/>
      <c r="E61" s="2"/>
      <c r="F61" s="3"/>
      <c r="G61" s="93">
        <v>46203.0</v>
      </c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 t="s">
        <v>70</v>
      </c>
      <c r="D62" s="115"/>
      <c r="G62" s="12" t="s">
        <v>83</v>
      </c>
      <c r="H62" s="116" t="str">
        <f>E58/D62</f>
        <v>#DIV/0!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17" t="str">
        <f>IF(H62&lt;=70%,"خسائر",IF(H62&lt;=80%,"مقبول",IF(H62&lt;=100%,"مكسب","فوق المتوقع")))</f>
        <v>#DIV/0!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2" t="s">
        <v>84</v>
      </c>
      <c r="B64" s="2"/>
      <c r="C64" s="2"/>
      <c r="D64" s="3"/>
      <c r="E64" s="92" t="s">
        <v>85</v>
      </c>
      <c r="F64" s="2"/>
      <c r="G64" s="2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6" t="s">
        <v>70</v>
      </c>
      <c r="D65" s="115">
        <v>2460.0</v>
      </c>
      <c r="G65" s="5"/>
      <c r="H65" s="11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17" t="str">
        <f>IF(E58&lt;D65,"سالب",IF(E58&gt;D65,"موجب",IF(E58=D65,"نقطة امان","يوجد خطأ")))</f>
        <v>سالب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2" t="s">
        <v>86</v>
      </c>
      <c r="B67" s="2"/>
      <c r="C67" s="2"/>
      <c r="D67" s="3"/>
      <c r="E67" s="92" t="s">
        <v>87</v>
      </c>
      <c r="F67" s="2"/>
      <c r="G67" s="2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17" t="str">
        <f>IF(E58&gt;=2460,"high", "low")</f>
        <v>low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19"/>
      <c r="E69" s="11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20"/>
      <c r="B70" s="121"/>
      <c r="C70" s="122"/>
      <c r="D70" s="15"/>
      <c r="E70" s="123"/>
      <c r="F70" s="3"/>
      <c r="G70" s="122"/>
      <c r="H70" s="8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20"/>
      <c r="B71" s="121"/>
      <c r="C71" s="122"/>
      <c r="D71" s="15"/>
      <c r="E71" s="123"/>
      <c r="F71" s="3"/>
      <c r="G71" s="122"/>
      <c r="H71" s="8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20"/>
      <c r="B72" s="121"/>
      <c r="C72" s="122"/>
      <c r="D72" s="15"/>
      <c r="E72" s="123"/>
      <c r="F72" s="3"/>
      <c r="G72" s="122"/>
      <c r="H72" s="8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20"/>
      <c r="B73" s="121"/>
      <c r="C73" s="122"/>
      <c r="D73" s="15"/>
      <c r="E73" s="123"/>
      <c r="F73" s="3"/>
      <c r="G73" s="122"/>
      <c r="H73" s="8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5"/>
      <c r="B74" s="15"/>
      <c r="C74" s="90"/>
      <c r="D74" s="15"/>
      <c r="E74" s="123"/>
      <c r="F74" s="3"/>
      <c r="G74" s="122"/>
      <c r="H74" s="8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24"/>
      <c r="B76" s="2"/>
      <c r="C76" s="2"/>
      <c r="D76" s="2"/>
      <c r="E76" s="2"/>
      <c r="F76" s="3"/>
      <c r="G76" s="12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11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25"/>
      <c r="C78" s="4"/>
      <c r="D78" s="4"/>
      <c r="E78" s="4"/>
      <c r="F78" s="4"/>
      <c r="G78" s="12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25"/>
      <c r="E79" s="12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5"/>
      <c r="B80" s="15"/>
      <c r="C80" s="15"/>
      <c r="D80" s="15"/>
      <c r="E80" s="15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25"/>
      <c r="D81" s="126"/>
      <c r="E81" s="37"/>
      <c r="F81" s="12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5"/>
      <c r="B82" s="15"/>
      <c r="C82" s="15"/>
      <c r="D82" s="15"/>
      <c r="E82" s="15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25"/>
      <c r="D83" s="4"/>
      <c r="E83" s="12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25"/>
      <c r="E84" s="12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E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2"/>
      <c r="E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E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2"/>
      <c r="E88" s="1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5"/>
      <c r="B1004" s="5"/>
      <c r="C1004" s="5"/>
      <c r="D1004" s="5"/>
      <c r="E1004" s="5"/>
      <c r="F1004" s="5"/>
      <c r="G1004" s="5"/>
      <c r="H1004" s="5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mergeCells count="107">
    <mergeCell ref="F5:G5"/>
    <mergeCell ref="F6:G6"/>
    <mergeCell ref="A1:H1"/>
    <mergeCell ref="A3:H3"/>
    <mergeCell ref="A4:C4"/>
    <mergeCell ref="F4:H4"/>
    <mergeCell ref="A5:A6"/>
    <mergeCell ref="B5:C5"/>
    <mergeCell ref="B6:C6"/>
    <mergeCell ref="A7:H7"/>
    <mergeCell ref="A8:H8"/>
    <mergeCell ref="A9:D9"/>
    <mergeCell ref="E9:H9"/>
    <mergeCell ref="A10:D10"/>
    <mergeCell ref="E10:H10"/>
    <mergeCell ref="E11:H11"/>
    <mergeCell ref="A11:D11"/>
    <mergeCell ref="A12:D12"/>
    <mergeCell ref="A13:D13"/>
    <mergeCell ref="A14:D14"/>
    <mergeCell ref="A15:B15"/>
    <mergeCell ref="C15:D15"/>
    <mergeCell ref="A17:C17"/>
    <mergeCell ref="F20:H20"/>
    <mergeCell ref="F21:G21"/>
    <mergeCell ref="F22:G22"/>
    <mergeCell ref="F23:G23"/>
    <mergeCell ref="F24:G24"/>
    <mergeCell ref="F25:G25"/>
    <mergeCell ref="F26:G26"/>
    <mergeCell ref="F28:H28"/>
    <mergeCell ref="E12:H12"/>
    <mergeCell ref="E13:H13"/>
    <mergeCell ref="E14:H14"/>
    <mergeCell ref="E15:F15"/>
    <mergeCell ref="G15:H15"/>
    <mergeCell ref="F17:H17"/>
    <mergeCell ref="A18:H18"/>
    <mergeCell ref="A20:C20"/>
    <mergeCell ref="A21:D26"/>
    <mergeCell ref="A28:C28"/>
    <mergeCell ref="A29:H29"/>
    <mergeCell ref="A31:C31"/>
    <mergeCell ref="F31:H31"/>
    <mergeCell ref="A32:H32"/>
    <mergeCell ref="A76:F76"/>
    <mergeCell ref="G76:H76"/>
    <mergeCell ref="E77:H77"/>
    <mergeCell ref="A79:D79"/>
    <mergeCell ref="E79:H79"/>
    <mergeCell ref="D81:E81"/>
    <mergeCell ref="F81:H81"/>
    <mergeCell ref="A81:C81"/>
    <mergeCell ref="A83:C83"/>
    <mergeCell ref="E83:H83"/>
    <mergeCell ref="A84:D84"/>
    <mergeCell ref="E84:H84"/>
    <mergeCell ref="A85:D85"/>
    <mergeCell ref="E85:H85"/>
    <mergeCell ref="A34:C34"/>
    <mergeCell ref="F34:H34"/>
    <mergeCell ref="A35:H35"/>
    <mergeCell ref="A38:C38"/>
    <mergeCell ref="F38:H38"/>
    <mergeCell ref="A39:H39"/>
    <mergeCell ref="A42:C42"/>
    <mergeCell ref="F42:H42"/>
    <mergeCell ref="A43:H43"/>
    <mergeCell ref="A46:H46"/>
    <mergeCell ref="A47:C47"/>
    <mergeCell ref="F47:H47"/>
    <mergeCell ref="A48:H48"/>
    <mergeCell ref="A49:C49"/>
    <mergeCell ref="F49:H49"/>
    <mergeCell ref="A50:H50"/>
    <mergeCell ref="A52:F52"/>
    <mergeCell ref="G52:H52"/>
    <mergeCell ref="A56:F56"/>
    <mergeCell ref="G56:H56"/>
    <mergeCell ref="G57:H57"/>
    <mergeCell ref="A57:F57"/>
    <mergeCell ref="A61:F61"/>
    <mergeCell ref="G61:H61"/>
    <mergeCell ref="A62:C62"/>
    <mergeCell ref="D62:F62"/>
    <mergeCell ref="A63:H63"/>
    <mergeCell ref="E64:H64"/>
    <mergeCell ref="A64:D64"/>
    <mergeCell ref="A65:C65"/>
    <mergeCell ref="D65:F65"/>
    <mergeCell ref="A66:H66"/>
    <mergeCell ref="A67:D67"/>
    <mergeCell ref="E67:H67"/>
    <mergeCell ref="A68:H68"/>
    <mergeCell ref="A69:D69"/>
    <mergeCell ref="E69:H69"/>
    <mergeCell ref="E70:F70"/>
    <mergeCell ref="E71:F71"/>
    <mergeCell ref="E72:F72"/>
    <mergeCell ref="E73:F73"/>
    <mergeCell ref="E74:F74"/>
    <mergeCell ref="A86:D86"/>
    <mergeCell ref="E86:H86"/>
    <mergeCell ref="A87:D87"/>
    <mergeCell ref="E87:H87"/>
    <mergeCell ref="A88:D88"/>
    <mergeCell ref="E88:H8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5"/>
      <c r="C2" s="5"/>
      <c r="D2" s="5"/>
      <c r="E2" s="5"/>
      <c r="F2" s="6">
        <v>46261.0</v>
      </c>
      <c r="G2" s="7" t="s">
        <v>1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 t="s">
        <v>3</v>
      </c>
      <c r="D4" s="10">
        <v>0.0</v>
      </c>
      <c r="E4" s="5"/>
      <c r="F4" s="11" t="s">
        <v>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 t="s">
        <v>5</v>
      </c>
      <c r="B5" s="12" t="s">
        <v>6</v>
      </c>
      <c r="D5" s="13" t="s">
        <v>7</v>
      </c>
      <c r="E5" s="5"/>
      <c r="F5" s="12" t="s">
        <v>8</v>
      </c>
      <c r="H5" s="13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2" t="s">
        <v>9</v>
      </c>
      <c r="D6" s="13">
        <v>0.0</v>
      </c>
      <c r="E6" s="5"/>
      <c r="F6" s="12" t="s">
        <v>10</v>
      </c>
      <c r="H6" s="13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4"/>
      <c r="B7" s="2"/>
      <c r="C7" s="2"/>
      <c r="D7" s="2"/>
      <c r="E7" s="2"/>
      <c r="F7" s="2"/>
      <c r="G7" s="2"/>
      <c r="H7" s="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4"/>
      <c r="AB7" s="4"/>
    </row>
    <row r="8">
      <c r="A8" s="17"/>
      <c r="B8" s="18"/>
      <c r="C8" s="18"/>
      <c r="D8" s="18"/>
      <c r="E8" s="18"/>
      <c r="F8" s="18"/>
      <c r="G8" s="18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4"/>
      <c r="AB8" s="4"/>
    </row>
    <row r="9">
      <c r="A9" s="20" t="s">
        <v>11</v>
      </c>
      <c r="B9" s="21"/>
      <c r="C9" s="21"/>
      <c r="D9" s="22"/>
      <c r="E9" s="23" t="s">
        <v>12</v>
      </c>
      <c r="F9" s="21"/>
      <c r="G9" s="21"/>
      <c r="H9" s="2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4" t="s">
        <v>13</v>
      </c>
      <c r="B10" s="25"/>
      <c r="C10" s="25"/>
      <c r="D10" s="26"/>
      <c r="E10" s="24" t="s">
        <v>14</v>
      </c>
      <c r="F10" s="25"/>
      <c r="G10" s="25"/>
      <c r="H10" s="2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7" t="s">
        <v>15</v>
      </c>
      <c r="B11" s="28"/>
      <c r="C11" s="28"/>
      <c r="D11" s="29"/>
      <c r="E11" s="30" t="s">
        <v>15</v>
      </c>
      <c r="F11" s="28"/>
      <c r="G11" s="28"/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44.25" customHeight="1">
      <c r="A12" s="31" t="s">
        <v>18</v>
      </c>
      <c r="B12" s="18"/>
      <c r="C12" s="18"/>
      <c r="D12" s="32"/>
      <c r="E12" s="33" t="s">
        <v>18</v>
      </c>
      <c r="F12" s="18"/>
      <c r="G12" s="18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5.5" customHeight="1">
      <c r="A13" s="35" t="s">
        <v>21</v>
      </c>
      <c r="B13" s="36"/>
      <c r="C13" s="36"/>
      <c r="D13" s="37"/>
      <c r="E13" s="38" t="s">
        <v>21</v>
      </c>
      <c r="F13" s="36"/>
      <c r="G13" s="36"/>
      <c r="H13" s="3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57.75" customHeight="1">
      <c r="A14" s="35" t="s">
        <v>18</v>
      </c>
      <c r="B14" s="36"/>
      <c r="C14" s="36"/>
      <c r="D14" s="37"/>
      <c r="E14" s="38" t="s">
        <v>24</v>
      </c>
      <c r="F14" s="36"/>
      <c r="G14" s="36"/>
      <c r="H14" s="3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0">
        <v>100.0</v>
      </c>
      <c r="B15" s="3"/>
      <c r="C15" s="41" t="s">
        <v>25</v>
      </c>
      <c r="D15" s="42"/>
      <c r="E15" s="40">
        <v>100.0</v>
      </c>
      <c r="F15" s="3"/>
      <c r="G15" s="43" t="s">
        <v>25</v>
      </c>
      <c r="H15" s="4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8"/>
      <c r="B16" s="48"/>
      <c r="C16" s="48"/>
      <c r="D16" s="50"/>
      <c r="E16" s="48"/>
      <c r="F16" s="48"/>
      <c r="G16" s="48"/>
      <c r="H16" s="50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  <c r="AB16" s="4"/>
    </row>
    <row r="17">
      <c r="A17" s="49" t="s">
        <v>26</v>
      </c>
      <c r="B17" s="36"/>
      <c r="C17" s="36"/>
      <c r="D17" s="54"/>
      <c r="E17" s="53">
        <v>0.9</v>
      </c>
      <c r="F17" s="57" t="str">
        <f>REPT("⭐",ROUND(E17*5,0)) &amp; REPT("☆",5-ROUND(E17*5,0))</f>
        <v>⭐⭐⭐⭐⭐</v>
      </c>
      <c r="G17" s="36"/>
      <c r="H17" s="3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57.0" customHeight="1">
      <c r="A18" s="52" t="s">
        <v>30</v>
      </c>
      <c r="B18" s="28"/>
      <c r="C18" s="28"/>
      <c r="D18" s="28"/>
      <c r="E18" s="28"/>
      <c r="F18" s="28"/>
      <c r="G18" s="28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5"/>
      <c r="B19" s="45"/>
      <c r="C19" s="45"/>
      <c r="D19" s="45"/>
      <c r="E19" s="45"/>
      <c r="F19" s="45"/>
      <c r="G19" s="45"/>
      <c r="H19" s="4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4"/>
      <c r="AB19" s="4"/>
    </row>
    <row r="20">
      <c r="A20" s="49" t="s">
        <v>28</v>
      </c>
      <c r="B20" s="36"/>
      <c r="C20" s="36"/>
      <c r="D20" s="55"/>
      <c r="E20" s="56">
        <v>0.6</v>
      </c>
      <c r="F20" s="58" t="str">
        <f>REPT("⭐",ROUND(E20*5,0)) &amp; REPT("☆",5-ROUND(E20*5,0))</f>
        <v>⭐⭐⭐☆☆</v>
      </c>
      <c r="G20" s="59"/>
      <c r="H20" s="6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1" t="s">
        <v>39</v>
      </c>
      <c r="D21" s="68"/>
      <c r="E21" s="69">
        <v>0.0</v>
      </c>
      <c r="F21" s="63" t="s">
        <v>32</v>
      </c>
      <c r="G21" s="64"/>
      <c r="H21" s="73" t="s">
        <v>42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D22" s="68"/>
      <c r="E22" s="69">
        <v>0.0</v>
      </c>
      <c r="F22" s="63" t="s">
        <v>34</v>
      </c>
      <c r="G22" s="64"/>
      <c r="H22" s="73" t="s">
        <v>42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D23" s="68"/>
      <c r="E23" s="69">
        <v>0.0</v>
      </c>
      <c r="F23" s="63" t="s">
        <v>38</v>
      </c>
      <c r="G23" s="64"/>
      <c r="H23" s="73" t="s">
        <v>40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D24" s="68"/>
      <c r="E24" s="76">
        <v>0.0</v>
      </c>
      <c r="F24" s="63" t="s">
        <v>41</v>
      </c>
      <c r="G24" s="64"/>
      <c r="H24" s="73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D25" s="68"/>
      <c r="E25" s="76">
        <v>0.0</v>
      </c>
      <c r="F25" s="67" t="s">
        <v>36</v>
      </c>
      <c r="G25" s="64"/>
      <c r="H25" s="73" t="s">
        <v>47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79"/>
      <c r="B26" s="28"/>
      <c r="C26" s="28"/>
      <c r="D26" s="29"/>
      <c r="E26" s="76">
        <v>0.0</v>
      </c>
      <c r="F26" s="63" t="s">
        <v>37</v>
      </c>
      <c r="G26" s="64"/>
      <c r="H26" s="73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5"/>
      <c r="B27" s="45"/>
      <c r="C27" s="45"/>
      <c r="D27" s="45"/>
      <c r="E27" s="74"/>
      <c r="F27" s="75"/>
      <c r="G27" s="75"/>
      <c r="H27" s="7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4"/>
      <c r="AB27" s="4"/>
    </row>
    <row r="28">
      <c r="A28" s="77" t="s">
        <v>44</v>
      </c>
      <c r="B28" s="36"/>
      <c r="C28" s="36"/>
      <c r="D28" s="55"/>
      <c r="E28" s="78">
        <v>0.7</v>
      </c>
      <c r="F28" s="57" t="str">
        <f>REPT("⭐",ROUND(E28*5,0)) &amp; REPT("☆",5-ROUND(E28*5,0))</f>
        <v>⭐⭐⭐⭐☆</v>
      </c>
      <c r="G28" s="36"/>
      <c r="H28" s="3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75.75" customHeight="1">
      <c r="A29" s="80" t="s">
        <v>51</v>
      </c>
      <c r="B29" s="81"/>
      <c r="C29" s="81"/>
      <c r="D29" s="81"/>
      <c r="E29" s="81"/>
      <c r="F29" s="81"/>
      <c r="G29" s="81"/>
      <c r="H29" s="8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5"/>
      <c r="B30" s="45"/>
      <c r="C30" s="45"/>
      <c r="D30" s="45"/>
      <c r="E30" s="46"/>
      <c r="F30" s="83"/>
      <c r="G30" s="83"/>
      <c r="H30" s="8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"/>
      <c r="AB30" s="4"/>
    </row>
    <row r="31">
      <c r="A31" s="77" t="s">
        <v>48</v>
      </c>
      <c r="B31" s="36"/>
      <c r="C31" s="36"/>
      <c r="D31" s="55"/>
      <c r="E31" s="78">
        <v>0.6</v>
      </c>
      <c r="F31" s="57" t="str">
        <f>REPT("⭐",ROUND(E31*5,0)) &amp; REPT("☆",5-ROUND(E31*5,0))</f>
        <v>⭐⭐⭐☆☆</v>
      </c>
      <c r="G31" s="36"/>
      <c r="H31" s="3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72.75" customHeight="1">
      <c r="A32" s="80" t="s">
        <v>39</v>
      </c>
      <c r="B32" s="81"/>
      <c r="C32" s="81"/>
      <c r="D32" s="81"/>
      <c r="E32" s="81"/>
      <c r="F32" s="81"/>
      <c r="G32" s="81"/>
      <c r="H32" s="8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5"/>
      <c r="B33" s="45"/>
      <c r="C33" s="45"/>
      <c r="D33" s="45"/>
      <c r="E33" s="46"/>
      <c r="F33" s="83"/>
      <c r="G33" s="83"/>
      <c r="H33" s="8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4"/>
      <c r="AB33" s="4"/>
    </row>
    <row r="34">
      <c r="A34" s="77" t="s">
        <v>50</v>
      </c>
      <c r="B34" s="36"/>
      <c r="C34" s="36"/>
      <c r="D34" s="55"/>
      <c r="E34" s="53">
        <v>0.9</v>
      </c>
      <c r="F34" s="57" t="str">
        <f>REPT("⭐",ROUND(E34*5,0)) &amp; REPT("☆",5-ROUND(E34*5,0))</f>
        <v>⭐⭐⭐⭐⭐</v>
      </c>
      <c r="G34" s="36"/>
      <c r="H34" s="3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54.75" customHeight="1">
      <c r="A35" s="80" t="s">
        <v>58</v>
      </c>
      <c r="B35" s="81"/>
      <c r="C35" s="81"/>
      <c r="D35" s="81"/>
      <c r="E35" s="81"/>
      <c r="F35" s="81"/>
      <c r="G35" s="81"/>
      <c r="H35" s="8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5"/>
      <c r="B36" s="45"/>
      <c r="C36" s="45"/>
      <c r="D36" s="45"/>
      <c r="E36" s="46"/>
      <c r="F36" s="83"/>
      <c r="G36" s="83"/>
      <c r="H36" s="8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4"/>
      <c r="AB36" s="4"/>
    </row>
    <row r="37">
      <c r="A37" s="45"/>
      <c r="B37" s="45"/>
      <c r="C37" s="45"/>
      <c r="D37" s="45"/>
      <c r="E37" s="46"/>
      <c r="F37" s="83"/>
      <c r="G37" s="83"/>
      <c r="H37" s="8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"/>
      <c r="AB37" s="4"/>
    </row>
    <row r="38">
      <c r="A38" s="84" t="s">
        <v>54</v>
      </c>
      <c r="B38" s="59"/>
      <c r="C38" s="59"/>
      <c r="D38" s="85"/>
      <c r="E38" s="86" t="s">
        <v>56</v>
      </c>
      <c r="F38" s="58" t="str">
        <f>REPT("⭐",ROUND(E38*5,0)) &amp; REPT("☆",5-ROUND(E38*5,0))</f>
        <v>⭐⭐⭐⭐⭐</v>
      </c>
      <c r="G38" s="59"/>
      <c r="H38" s="6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53.25" customHeight="1">
      <c r="A39" s="87" t="s">
        <v>59</v>
      </c>
      <c r="B39" s="81"/>
      <c r="C39" s="81"/>
      <c r="D39" s="81"/>
      <c r="E39" s="81"/>
      <c r="F39" s="81"/>
      <c r="G39" s="81"/>
      <c r="H39" s="8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8"/>
      <c r="B40" s="88"/>
      <c r="C40" s="88"/>
      <c r="D40" s="88"/>
      <c r="E40" s="74"/>
      <c r="F40" s="75"/>
      <c r="G40" s="75"/>
      <c r="H40" s="7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4"/>
      <c r="AB40" s="4"/>
    </row>
    <row r="41">
      <c r="A41" s="45"/>
      <c r="B41" s="45"/>
      <c r="C41" s="45"/>
      <c r="D41" s="45"/>
      <c r="E41" s="46"/>
      <c r="F41" s="83"/>
      <c r="G41" s="83"/>
      <c r="H41" s="83"/>
      <c r="I41" s="15"/>
      <c r="J41" s="15"/>
      <c r="K41" s="15"/>
      <c r="L41" s="15"/>
      <c r="M41" s="89"/>
      <c r="N41" s="90"/>
      <c r="O41" s="90"/>
      <c r="P41" s="90"/>
      <c r="Q41" s="15"/>
      <c r="R41" s="15"/>
      <c r="S41" s="15"/>
      <c r="T41" s="15"/>
      <c r="U41" s="89"/>
      <c r="V41" s="90"/>
      <c r="W41" s="90"/>
      <c r="X41" s="90"/>
      <c r="Y41" s="4"/>
      <c r="Z41" s="4"/>
      <c r="AA41" s="4"/>
      <c r="AB41" s="4"/>
    </row>
    <row r="42">
      <c r="A42" s="77" t="s">
        <v>60</v>
      </c>
      <c r="B42" s="36"/>
      <c r="C42" s="36"/>
      <c r="D42" s="55"/>
      <c r="E42" s="91">
        <v>1.0</v>
      </c>
      <c r="F42" s="57" t="str">
        <f>REPT("⭐",ROUND(E42*5,0)) &amp; REPT("☆",5-ROUND(E42*5,0))</f>
        <v>⭐⭐⭐⭐⭐</v>
      </c>
      <c r="G42" s="36"/>
      <c r="H42" s="3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11.0" customHeight="1">
      <c r="A43" s="80" t="s">
        <v>64</v>
      </c>
      <c r="B43" s="81"/>
      <c r="C43" s="81"/>
      <c r="D43" s="81"/>
      <c r="E43" s="81"/>
      <c r="F43" s="81"/>
      <c r="G43" s="81"/>
      <c r="H43" s="8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5"/>
      <c r="B44" s="45"/>
      <c r="C44" s="45"/>
      <c r="D44" s="45"/>
      <c r="E44" s="83"/>
      <c r="F44" s="83"/>
      <c r="G44" s="83"/>
      <c r="H44" s="8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4"/>
      <c r="AB44" s="4"/>
    </row>
    <row r="45">
      <c r="A45" s="45"/>
      <c r="B45" s="45"/>
      <c r="C45" s="45"/>
      <c r="D45" s="45"/>
      <c r="E45" s="45"/>
      <c r="F45" s="45"/>
      <c r="G45" s="45"/>
      <c r="H45" s="4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4"/>
      <c r="AB45" s="4"/>
    </row>
    <row r="46">
      <c r="A46" s="92" t="s">
        <v>62</v>
      </c>
      <c r="B46" s="2"/>
      <c r="C46" s="2"/>
      <c r="D46" s="2"/>
      <c r="E46" s="2"/>
      <c r="F46" s="2"/>
      <c r="G46" s="2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7" t="s">
        <v>63</v>
      </c>
      <c r="B47" s="36"/>
      <c r="C47" s="36"/>
      <c r="D47" s="55"/>
      <c r="E47" s="53"/>
      <c r="F47" s="57" t="str">
        <f>REPT("⭐",ROUND(E47*5,0)) &amp; REPT("☆",5-ROUND(E47*5,0))</f>
        <v>☆☆☆☆☆</v>
      </c>
      <c r="G47" s="36"/>
      <c r="H47" s="3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61.5" customHeight="1">
      <c r="A48" s="80" t="s">
        <v>69</v>
      </c>
      <c r="B48" s="81"/>
      <c r="C48" s="81"/>
      <c r="D48" s="81"/>
      <c r="E48" s="81"/>
      <c r="F48" s="81"/>
      <c r="G48" s="81"/>
      <c r="H48" s="8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7" t="s">
        <v>66</v>
      </c>
      <c r="B49" s="36"/>
      <c r="C49" s="36"/>
      <c r="D49" s="55"/>
      <c r="E49" s="53"/>
      <c r="F49" s="57" t="str">
        <f>REPT("⭐",ROUND(E49*5,0)) &amp; REPT("☆",5-ROUND(E49*5,0))</f>
        <v>☆☆☆☆☆</v>
      </c>
      <c r="G49" s="36"/>
      <c r="H49" s="3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5.25" customHeight="1">
      <c r="A50" s="87" t="s">
        <v>65</v>
      </c>
      <c r="B50" s="81"/>
      <c r="C50" s="81"/>
      <c r="D50" s="81"/>
      <c r="E50" s="81"/>
      <c r="F50" s="81"/>
      <c r="G50" s="81"/>
      <c r="H50" s="8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5"/>
      <c r="B51" s="45"/>
      <c r="C51" s="45"/>
      <c r="D51" s="45"/>
      <c r="E51" s="45"/>
      <c r="F51" s="45"/>
      <c r="G51" s="45"/>
      <c r="H51" s="4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4"/>
      <c r="AB51" s="4"/>
    </row>
    <row r="52">
      <c r="A52" s="92" t="s">
        <v>68</v>
      </c>
      <c r="B52" s="2"/>
      <c r="C52" s="2"/>
      <c r="D52" s="2"/>
      <c r="E52" s="2"/>
      <c r="F52" s="3"/>
      <c r="G52" s="93">
        <v>46204.0</v>
      </c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4" t="s">
        <v>70</v>
      </c>
      <c r="B53" s="95">
        <v>45.0</v>
      </c>
      <c r="C53" s="96"/>
      <c r="D53" s="94" t="s">
        <v>71</v>
      </c>
      <c r="E53" s="95">
        <f>SUM(E54:E55)</f>
        <v>12</v>
      </c>
      <c r="F53" s="96"/>
      <c r="G53" s="95" t="s">
        <v>72</v>
      </c>
      <c r="H53" s="97">
        <f t="shared" ref="H53:H55" si="1">E53/B53</f>
        <v>0.2666666667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8" t="s">
        <v>73</v>
      </c>
      <c r="B54" s="99">
        <v>40.0</v>
      </c>
      <c r="C54" s="100"/>
      <c r="D54" s="101" t="s">
        <v>74</v>
      </c>
      <c r="E54" s="102">
        <v>0.0</v>
      </c>
      <c r="F54" s="100"/>
      <c r="G54" s="99" t="s">
        <v>72</v>
      </c>
      <c r="H54" s="103">
        <f t="shared" si="1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4" t="s">
        <v>75</v>
      </c>
      <c r="B55" s="95">
        <v>5.0</v>
      </c>
      <c r="C55" s="96"/>
      <c r="D55" s="104" t="s">
        <v>76</v>
      </c>
      <c r="E55" s="105">
        <v>12.0</v>
      </c>
      <c r="F55" s="96"/>
      <c r="G55" s="95" t="s">
        <v>72</v>
      </c>
      <c r="H55" s="97">
        <f t="shared" si="1"/>
        <v>2.4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2" t="s">
        <v>77</v>
      </c>
      <c r="B56" s="2"/>
      <c r="C56" s="2"/>
      <c r="D56" s="2"/>
      <c r="E56" s="2"/>
      <c r="F56" s="3"/>
      <c r="G56" s="93">
        <v>46203.0</v>
      </c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6" t="s">
        <v>78</v>
      </c>
      <c r="G57" s="106" t="s">
        <v>79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7" t="s">
        <v>70</v>
      </c>
      <c r="B58" s="108">
        <f>B59+B60</f>
        <v>12000</v>
      </c>
      <c r="C58" s="109"/>
      <c r="D58" s="107" t="s">
        <v>71</v>
      </c>
      <c r="E58" s="108">
        <f>SUM(E59:E60)</f>
        <v>0</v>
      </c>
      <c r="F58" s="109"/>
      <c r="G58" s="108" t="s">
        <v>72</v>
      </c>
      <c r="H58" s="110">
        <f t="shared" ref="H58:H60" si="2">E58/B58</f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11" t="s">
        <v>73</v>
      </c>
      <c r="B59" s="112">
        <v>5000.0</v>
      </c>
      <c r="C59" s="113"/>
      <c r="D59" s="111" t="s">
        <v>80</v>
      </c>
      <c r="E59" s="112"/>
      <c r="F59" s="113"/>
      <c r="G59" s="112" t="s">
        <v>72</v>
      </c>
      <c r="H59" s="114">
        <f t="shared" si="2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11" t="s">
        <v>75</v>
      </c>
      <c r="B60" s="112">
        <v>7000.0</v>
      </c>
      <c r="C60" s="113"/>
      <c r="D60" s="111" t="s">
        <v>81</v>
      </c>
      <c r="E60" s="112"/>
      <c r="F60" s="113"/>
      <c r="G60" s="112" t="s">
        <v>72</v>
      </c>
      <c r="H60" s="114">
        <f t="shared" si="2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2" t="s">
        <v>82</v>
      </c>
      <c r="B61" s="2"/>
      <c r="C61" s="2"/>
      <c r="D61" s="2"/>
      <c r="E61" s="2"/>
      <c r="F61" s="3"/>
      <c r="G61" s="93">
        <v>46203.0</v>
      </c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 t="s">
        <v>70</v>
      </c>
      <c r="D62" s="115"/>
      <c r="G62" s="12" t="s">
        <v>83</v>
      </c>
      <c r="H62" s="116" t="str">
        <f>E58/D62</f>
        <v>#DIV/0!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17" t="str">
        <f>IF(H62&lt;=70%,"خسائر",IF(H62&lt;=80%,"مقبول",IF(H62&lt;=100%,"مكسب","فوق المتوقع")))</f>
        <v>#DIV/0!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2" t="s">
        <v>84</v>
      </c>
      <c r="B64" s="2"/>
      <c r="C64" s="2"/>
      <c r="D64" s="3"/>
      <c r="E64" s="92" t="s">
        <v>85</v>
      </c>
      <c r="F64" s="2"/>
      <c r="G64" s="2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6" t="s">
        <v>70</v>
      </c>
      <c r="D65" s="115">
        <v>2460.0</v>
      </c>
      <c r="G65" s="5"/>
      <c r="H65" s="11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17" t="str">
        <f>IF(E58&lt;D65,"سالب",IF(E58&gt;D65,"موجب",IF(E58=D65,"نقطة امان","يوجد خطأ")))</f>
        <v>سالب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2" t="s">
        <v>86</v>
      </c>
      <c r="B67" s="2"/>
      <c r="C67" s="2"/>
      <c r="D67" s="3"/>
      <c r="E67" s="92" t="s">
        <v>87</v>
      </c>
      <c r="F67" s="2"/>
      <c r="G67" s="2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17" t="str">
        <f>IF(E58&gt;=2460,"high", "low")</f>
        <v>low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19"/>
      <c r="E69" s="11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20"/>
      <c r="B70" s="121"/>
      <c r="C70" s="122"/>
      <c r="D70" s="15"/>
      <c r="E70" s="123"/>
      <c r="F70" s="3"/>
      <c r="G70" s="122"/>
      <c r="H70" s="8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20"/>
      <c r="B71" s="121"/>
      <c r="C71" s="122"/>
      <c r="D71" s="15"/>
      <c r="E71" s="123"/>
      <c r="F71" s="3"/>
      <c r="G71" s="122"/>
      <c r="H71" s="8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20"/>
      <c r="B72" s="121"/>
      <c r="C72" s="122"/>
      <c r="D72" s="15"/>
      <c r="E72" s="123"/>
      <c r="F72" s="3"/>
      <c r="G72" s="122"/>
      <c r="H72" s="8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20"/>
      <c r="B73" s="121"/>
      <c r="C73" s="122"/>
      <c r="D73" s="15"/>
      <c r="E73" s="123"/>
      <c r="F73" s="3"/>
      <c r="G73" s="122"/>
      <c r="H73" s="8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5"/>
      <c r="B74" s="15"/>
      <c r="C74" s="90"/>
      <c r="D74" s="15"/>
      <c r="E74" s="123"/>
      <c r="F74" s="3"/>
      <c r="G74" s="122"/>
      <c r="H74" s="8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24"/>
      <c r="B76" s="2"/>
      <c r="C76" s="2"/>
      <c r="D76" s="2"/>
      <c r="E76" s="2"/>
      <c r="F76" s="3"/>
      <c r="G76" s="12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11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25"/>
      <c r="C78" s="4"/>
      <c r="D78" s="4"/>
      <c r="E78" s="4"/>
      <c r="F78" s="4"/>
      <c r="G78" s="12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25"/>
      <c r="E79" s="12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5"/>
      <c r="B80" s="15"/>
      <c r="C80" s="15"/>
      <c r="D80" s="15"/>
      <c r="E80" s="15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25"/>
      <c r="D81" s="126"/>
      <c r="E81" s="37"/>
      <c r="F81" s="12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5"/>
      <c r="B82" s="15"/>
      <c r="C82" s="15"/>
      <c r="D82" s="15"/>
      <c r="E82" s="15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25"/>
      <c r="D83" s="4"/>
      <c r="E83" s="12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25"/>
      <c r="E84" s="12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E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2"/>
      <c r="E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E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2"/>
      <c r="E88" s="1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5"/>
      <c r="B1004" s="5"/>
      <c r="C1004" s="5"/>
      <c r="D1004" s="5"/>
      <c r="E1004" s="5"/>
      <c r="F1004" s="5"/>
      <c r="G1004" s="5"/>
      <c r="H1004" s="5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mergeCells count="107">
    <mergeCell ref="F5:G5"/>
    <mergeCell ref="F6:G6"/>
    <mergeCell ref="A1:H1"/>
    <mergeCell ref="A3:H3"/>
    <mergeCell ref="A4:C4"/>
    <mergeCell ref="F4:H4"/>
    <mergeCell ref="A5:A6"/>
    <mergeCell ref="B5:C5"/>
    <mergeCell ref="B6:C6"/>
    <mergeCell ref="A7:H7"/>
    <mergeCell ref="A8:H8"/>
    <mergeCell ref="A9:D9"/>
    <mergeCell ref="E9:H9"/>
    <mergeCell ref="A10:D10"/>
    <mergeCell ref="E10:H10"/>
    <mergeCell ref="E11:H11"/>
    <mergeCell ref="A11:D11"/>
    <mergeCell ref="A12:D12"/>
    <mergeCell ref="A13:D13"/>
    <mergeCell ref="A14:D14"/>
    <mergeCell ref="A15:B15"/>
    <mergeCell ref="C15:D15"/>
    <mergeCell ref="A17:C17"/>
    <mergeCell ref="F20:H20"/>
    <mergeCell ref="F21:G21"/>
    <mergeCell ref="F22:G22"/>
    <mergeCell ref="F23:G23"/>
    <mergeCell ref="F24:G24"/>
    <mergeCell ref="F25:G25"/>
    <mergeCell ref="F26:G26"/>
    <mergeCell ref="F28:H28"/>
    <mergeCell ref="E12:H12"/>
    <mergeCell ref="E13:H13"/>
    <mergeCell ref="E14:H14"/>
    <mergeCell ref="E15:F15"/>
    <mergeCell ref="G15:H15"/>
    <mergeCell ref="F17:H17"/>
    <mergeCell ref="A18:H18"/>
    <mergeCell ref="A20:C20"/>
    <mergeCell ref="A21:D26"/>
    <mergeCell ref="A28:C28"/>
    <mergeCell ref="A29:H29"/>
    <mergeCell ref="A31:C31"/>
    <mergeCell ref="F31:H31"/>
    <mergeCell ref="A32:H32"/>
    <mergeCell ref="A76:F76"/>
    <mergeCell ref="G76:H76"/>
    <mergeCell ref="E77:H77"/>
    <mergeCell ref="A79:D79"/>
    <mergeCell ref="E79:H79"/>
    <mergeCell ref="D81:E81"/>
    <mergeCell ref="F81:H81"/>
    <mergeCell ref="A81:C81"/>
    <mergeCell ref="A83:C83"/>
    <mergeCell ref="E83:H83"/>
    <mergeCell ref="A84:D84"/>
    <mergeCell ref="E84:H84"/>
    <mergeCell ref="A85:D85"/>
    <mergeCell ref="E85:H85"/>
    <mergeCell ref="A34:C34"/>
    <mergeCell ref="F34:H34"/>
    <mergeCell ref="A35:H35"/>
    <mergeCell ref="A38:C38"/>
    <mergeCell ref="F38:H38"/>
    <mergeCell ref="A39:H39"/>
    <mergeCell ref="A42:C42"/>
    <mergeCell ref="F42:H42"/>
    <mergeCell ref="A43:H43"/>
    <mergeCell ref="A46:H46"/>
    <mergeCell ref="A47:C47"/>
    <mergeCell ref="F47:H47"/>
    <mergeCell ref="A48:H48"/>
    <mergeCell ref="A49:C49"/>
    <mergeCell ref="F49:H49"/>
    <mergeCell ref="A50:H50"/>
    <mergeCell ref="A52:F52"/>
    <mergeCell ref="G52:H52"/>
    <mergeCell ref="A56:F56"/>
    <mergeCell ref="G56:H56"/>
    <mergeCell ref="G57:H57"/>
    <mergeCell ref="A57:F57"/>
    <mergeCell ref="A61:F61"/>
    <mergeCell ref="G61:H61"/>
    <mergeCell ref="A62:C62"/>
    <mergeCell ref="D62:F62"/>
    <mergeCell ref="A63:H63"/>
    <mergeCell ref="E64:H64"/>
    <mergeCell ref="A64:D64"/>
    <mergeCell ref="A65:C65"/>
    <mergeCell ref="D65:F65"/>
    <mergeCell ref="A66:H66"/>
    <mergeCell ref="A67:D67"/>
    <mergeCell ref="E67:H67"/>
    <mergeCell ref="A68:H68"/>
    <mergeCell ref="A69:D69"/>
    <mergeCell ref="E69:H69"/>
    <mergeCell ref="E70:F70"/>
    <mergeCell ref="E71:F71"/>
    <mergeCell ref="E72:F72"/>
    <mergeCell ref="E73:F73"/>
    <mergeCell ref="E74:F74"/>
    <mergeCell ref="A86:D86"/>
    <mergeCell ref="E86:H86"/>
    <mergeCell ref="A87:D87"/>
    <mergeCell ref="E87:H87"/>
    <mergeCell ref="A88:D88"/>
    <mergeCell ref="E88:H8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5"/>
      <c r="C2" s="5"/>
      <c r="D2" s="5"/>
      <c r="E2" s="5"/>
      <c r="F2" s="6">
        <v>46262.0</v>
      </c>
      <c r="G2" s="7" t="s">
        <v>1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 t="s">
        <v>3</v>
      </c>
      <c r="D4" s="10">
        <v>0.0</v>
      </c>
      <c r="E4" s="5"/>
      <c r="F4" s="11" t="s">
        <v>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 t="s">
        <v>5</v>
      </c>
      <c r="B5" s="12" t="s">
        <v>6</v>
      </c>
      <c r="D5" s="13" t="s">
        <v>7</v>
      </c>
      <c r="E5" s="5"/>
      <c r="F5" s="12" t="s">
        <v>8</v>
      </c>
      <c r="H5" s="13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2" t="s">
        <v>9</v>
      </c>
      <c r="D6" s="13">
        <v>0.0</v>
      </c>
      <c r="E6" s="5"/>
      <c r="F6" s="12" t="s">
        <v>10</v>
      </c>
      <c r="H6" s="13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4"/>
      <c r="B7" s="2"/>
      <c r="C7" s="2"/>
      <c r="D7" s="2"/>
      <c r="E7" s="2"/>
      <c r="F7" s="2"/>
      <c r="G7" s="2"/>
      <c r="H7" s="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4"/>
      <c r="AB7" s="4"/>
    </row>
    <row r="8">
      <c r="A8" s="16"/>
      <c r="B8" s="18"/>
      <c r="C8" s="18"/>
      <c r="D8" s="18"/>
      <c r="E8" s="18"/>
      <c r="F8" s="18"/>
      <c r="G8" s="18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4"/>
      <c r="AB8" s="4"/>
    </row>
    <row r="9">
      <c r="A9" s="20" t="s">
        <v>11</v>
      </c>
      <c r="B9" s="21"/>
      <c r="C9" s="21"/>
      <c r="D9" s="22"/>
      <c r="E9" s="23" t="s">
        <v>12</v>
      </c>
      <c r="F9" s="21"/>
      <c r="G9" s="21"/>
      <c r="H9" s="2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4" t="s">
        <v>13</v>
      </c>
      <c r="B10" s="25"/>
      <c r="C10" s="25"/>
      <c r="D10" s="26"/>
      <c r="E10" s="24" t="s">
        <v>14</v>
      </c>
      <c r="F10" s="25"/>
      <c r="G10" s="25"/>
      <c r="H10" s="2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7" t="s">
        <v>15</v>
      </c>
      <c r="B11" s="28"/>
      <c r="C11" s="28"/>
      <c r="D11" s="29"/>
      <c r="E11" s="30" t="s">
        <v>15</v>
      </c>
      <c r="F11" s="28"/>
      <c r="G11" s="28"/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44.25" customHeight="1">
      <c r="A12" s="31" t="s">
        <v>16</v>
      </c>
      <c r="B12" s="18"/>
      <c r="C12" s="18"/>
      <c r="D12" s="32"/>
      <c r="E12" s="33" t="s">
        <v>20</v>
      </c>
      <c r="F12" s="18"/>
      <c r="G12" s="18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5.5" customHeight="1">
      <c r="A13" s="35" t="s">
        <v>21</v>
      </c>
      <c r="B13" s="36"/>
      <c r="C13" s="36"/>
      <c r="D13" s="37"/>
      <c r="E13" s="38" t="s">
        <v>21</v>
      </c>
      <c r="F13" s="36"/>
      <c r="G13" s="36"/>
      <c r="H13" s="3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57.75" customHeight="1">
      <c r="A14" s="35" t="s">
        <v>20</v>
      </c>
      <c r="B14" s="36"/>
      <c r="C14" s="36"/>
      <c r="D14" s="37"/>
      <c r="E14" s="38" t="s">
        <v>20</v>
      </c>
      <c r="F14" s="36"/>
      <c r="G14" s="36"/>
      <c r="H14" s="3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39">
        <v>1.0</v>
      </c>
      <c r="B15" s="3"/>
      <c r="C15" s="41" t="s">
        <v>25</v>
      </c>
      <c r="D15" s="42"/>
      <c r="E15" s="39">
        <v>1.0</v>
      </c>
      <c r="F15" s="3"/>
      <c r="G15" s="43" t="s">
        <v>25</v>
      </c>
      <c r="H15" s="4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5"/>
      <c r="B16" s="45"/>
      <c r="C16" s="45"/>
      <c r="D16" s="46"/>
      <c r="E16" s="45"/>
      <c r="F16" s="45"/>
      <c r="G16" s="45"/>
      <c r="H16" s="4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  <c r="AB16" s="4"/>
    </row>
    <row r="17">
      <c r="A17" s="49" t="s">
        <v>26</v>
      </c>
      <c r="B17" s="36"/>
      <c r="C17" s="36"/>
      <c r="D17" s="51"/>
      <c r="E17" s="53">
        <v>0.9</v>
      </c>
      <c r="F17" s="57" t="str">
        <f>REPT("⭐",ROUND(E17*5,0)) &amp; REPT("☆",5-ROUND(E17*5,0))</f>
        <v>⭐⭐⭐⭐⭐</v>
      </c>
      <c r="G17" s="36"/>
      <c r="H17" s="3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57.0" customHeight="1">
      <c r="A18" s="52" t="s">
        <v>29</v>
      </c>
      <c r="B18" s="28"/>
      <c r="C18" s="28"/>
      <c r="D18" s="28"/>
      <c r="E18" s="28"/>
      <c r="F18" s="28"/>
      <c r="G18" s="28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5"/>
      <c r="B19" s="45"/>
      <c r="C19" s="45"/>
      <c r="D19" s="45"/>
      <c r="E19" s="45"/>
      <c r="F19" s="45"/>
      <c r="G19" s="45"/>
      <c r="H19" s="4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4"/>
      <c r="AB19" s="4"/>
    </row>
    <row r="20">
      <c r="A20" s="49" t="s">
        <v>28</v>
      </c>
      <c r="B20" s="36"/>
      <c r="C20" s="36"/>
      <c r="D20" s="55"/>
      <c r="E20" s="56">
        <v>0.6</v>
      </c>
      <c r="F20" s="58" t="str">
        <f>REPT("⭐",ROUND(E20*5,0)) &amp; REPT("☆",5-ROUND(E20*5,0))</f>
        <v>⭐⭐⭐☆☆</v>
      </c>
      <c r="G20" s="59"/>
      <c r="H20" s="6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1" t="s">
        <v>35</v>
      </c>
      <c r="D21" s="68"/>
      <c r="E21" s="69">
        <v>0.0</v>
      </c>
      <c r="F21" s="63" t="s">
        <v>32</v>
      </c>
      <c r="G21" s="64"/>
      <c r="H21" s="65">
        <v>0.7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D22" s="68"/>
      <c r="E22" s="69">
        <v>0.0</v>
      </c>
      <c r="F22" s="63" t="s">
        <v>34</v>
      </c>
      <c r="G22" s="64"/>
      <c r="H22" s="65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D23" s="68"/>
      <c r="E23" s="69">
        <v>0.0</v>
      </c>
      <c r="F23" s="63" t="s">
        <v>38</v>
      </c>
      <c r="G23" s="64"/>
      <c r="H23" s="73" t="s">
        <v>40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D24" s="68"/>
      <c r="E24" s="76">
        <v>0.0</v>
      </c>
      <c r="F24" s="63" t="s">
        <v>41</v>
      </c>
      <c r="G24" s="64"/>
      <c r="H24" s="73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D25" s="68"/>
      <c r="E25" s="76">
        <v>0.0</v>
      </c>
      <c r="F25" s="67" t="s">
        <v>36</v>
      </c>
      <c r="G25" s="64"/>
      <c r="H25" s="65">
        <v>0.7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79"/>
      <c r="B26" s="28"/>
      <c r="C26" s="28"/>
      <c r="D26" s="29"/>
      <c r="E26" s="76">
        <v>0.0</v>
      </c>
      <c r="F26" s="63" t="s">
        <v>37</v>
      </c>
      <c r="G26" s="64"/>
      <c r="H26" s="73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5"/>
      <c r="B27" s="45"/>
      <c r="C27" s="45"/>
      <c r="D27" s="45"/>
      <c r="E27" s="74"/>
      <c r="F27" s="75"/>
      <c r="G27" s="75"/>
      <c r="H27" s="7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4"/>
      <c r="AB27" s="4"/>
    </row>
    <row r="28">
      <c r="A28" s="77" t="s">
        <v>44</v>
      </c>
      <c r="B28" s="36"/>
      <c r="C28" s="36"/>
      <c r="D28" s="55"/>
      <c r="E28" s="78">
        <v>0.7</v>
      </c>
      <c r="F28" s="57" t="str">
        <f>REPT("⭐",ROUND(E28*5,0)) &amp; REPT("☆",5-ROUND(E28*5,0))</f>
        <v>⭐⭐⭐⭐☆</v>
      </c>
      <c r="G28" s="36"/>
      <c r="H28" s="3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75.75" customHeight="1">
      <c r="A29" s="80" t="s">
        <v>16</v>
      </c>
      <c r="B29" s="81"/>
      <c r="C29" s="81"/>
      <c r="D29" s="81"/>
      <c r="E29" s="81"/>
      <c r="F29" s="81"/>
      <c r="G29" s="81"/>
      <c r="H29" s="8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5"/>
      <c r="B30" s="45"/>
      <c r="C30" s="45"/>
      <c r="D30" s="45"/>
      <c r="E30" s="46"/>
      <c r="F30" s="83"/>
      <c r="G30" s="83"/>
      <c r="H30" s="8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"/>
      <c r="AB30" s="4"/>
    </row>
    <row r="31">
      <c r="A31" s="77" t="s">
        <v>48</v>
      </c>
      <c r="B31" s="36"/>
      <c r="C31" s="36"/>
      <c r="D31" s="55"/>
      <c r="E31" s="78">
        <v>0.6</v>
      </c>
      <c r="F31" s="57" t="str">
        <f>REPT("⭐",ROUND(E31*5,0)) &amp; REPT("☆",5-ROUND(E31*5,0))</f>
        <v>⭐⭐⭐☆☆</v>
      </c>
      <c r="G31" s="36"/>
      <c r="H31" s="3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23.75" customHeight="1">
      <c r="A32" s="80" t="s">
        <v>52</v>
      </c>
      <c r="B32" s="81"/>
      <c r="C32" s="81"/>
      <c r="D32" s="81"/>
      <c r="E32" s="81"/>
      <c r="F32" s="81"/>
      <c r="G32" s="81"/>
      <c r="H32" s="8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5"/>
      <c r="B33" s="45"/>
      <c r="C33" s="45"/>
      <c r="D33" s="45"/>
      <c r="E33" s="46"/>
      <c r="F33" s="83"/>
      <c r="G33" s="83"/>
      <c r="H33" s="8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4"/>
      <c r="AB33" s="4"/>
    </row>
    <row r="34">
      <c r="A34" s="77" t="s">
        <v>50</v>
      </c>
      <c r="B34" s="36"/>
      <c r="C34" s="36"/>
      <c r="D34" s="55"/>
      <c r="E34" s="53">
        <v>0.9</v>
      </c>
      <c r="F34" s="57" t="str">
        <f>REPT("⭐",ROUND(E34*5,0)) &amp; REPT("☆",5-ROUND(E34*5,0))</f>
        <v>⭐⭐⭐⭐⭐</v>
      </c>
      <c r="G34" s="36"/>
      <c r="H34" s="3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54.75" customHeight="1">
      <c r="A35" s="80" t="s">
        <v>55</v>
      </c>
      <c r="B35" s="81"/>
      <c r="C35" s="81"/>
      <c r="D35" s="81"/>
      <c r="E35" s="81"/>
      <c r="F35" s="81"/>
      <c r="G35" s="81"/>
      <c r="H35" s="8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5"/>
      <c r="B36" s="45"/>
      <c r="C36" s="45"/>
      <c r="D36" s="45"/>
      <c r="E36" s="46"/>
      <c r="F36" s="83"/>
      <c r="G36" s="83"/>
      <c r="H36" s="8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4"/>
      <c r="AB36" s="4"/>
    </row>
    <row r="37">
      <c r="A37" s="45"/>
      <c r="B37" s="45"/>
      <c r="C37" s="45"/>
      <c r="D37" s="45"/>
      <c r="E37" s="46"/>
      <c r="F37" s="83"/>
      <c r="G37" s="83"/>
      <c r="H37" s="8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"/>
      <c r="AB37" s="4"/>
    </row>
    <row r="38">
      <c r="A38" s="84" t="s">
        <v>54</v>
      </c>
      <c r="B38" s="59"/>
      <c r="C38" s="59"/>
      <c r="D38" s="85"/>
      <c r="E38" s="86" t="s">
        <v>56</v>
      </c>
      <c r="F38" s="58" t="str">
        <f>REPT("⭐",ROUND(E38*5,0)) &amp; REPT("☆",5-ROUND(E38*5,0))</f>
        <v>⭐⭐⭐⭐⭐</v>
      </c>
      <c r="G38" s="59"/>
      <c r="H38" s="6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53.25" customHeight="1">
      <c r="A39" s="87" t="s">
        <v>59</v>
      </c>
      <c r="B39" s="81"/>
      <c r="C39" s="81"/>
      <c r="D39" s="81"/>
      <c r="E39" s="81"/>
      <c r="F39" s="81"/>
      <c r="G39" s="81"/>
      <c r="H39" s="8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8"/>
      <c r="B40" s="88"/>
      <c r="C40" s="88"/>
      <c r="D40" s="88"/>
      <c r="E40" s="74"/>
      <c r="F40" s="75"/>
      <c r="G40" s="75"/>
      <c r="H40" s="7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4"/>
      <c r="AB40" s="4"/>
    </row>
    <row r="41">
      <c r="A41" s="45"/>
      <c r="B41" s="45"/>
      <c r="C41" s="45"/>
      <c r="D41" s="45"/>
      <c r="E41" s="46"/>
      <c r="F41" s="83"/>
      <c r="G41" s="83"/>
      <c r="H41" s="83"/>
      <c r="I41" s="15"/>
      <c r="J41" s="15"/>
      <c r="K41" s="15"/>
      <c r="L41" s="15"/>
      <c r="M41" s="89"/>
      <c r="N41" s="90"/>
      <c r="O41" s="90"/>
      <c r="P41" s="90"/>
      <c r="Q41" s="15"/>
      <c r="R41" s="15"/>
      <c r="S41" s="15"/>
      <c r="T41" s="15"/>
      <c r="U41" s="89"/>
      <c r="V41" s="90"/>
      <c r="W41" s="90"/>
      <c r="X41" s="90"/>
      <c r="Y41" s="4"/>
      <c r="Z41" s="4"/>
      <c r="AA41" s="4"/>
      <c r="AB41" s="4"/>
    </row>
    <row r="42">
      <c r="A42" s="77" t="s">
        <v>60</v>
      </c>
      <c r="B42" s="36"/>
      <c r="C42" s="36"/>
      <c r="D42" s="55"/>
      <c r="E42" s="91">
        <v>1.0</v>
      </c>
      <c r="F42" s="57" t="str">
        <f>REPT("⭐",ROUND(E42*5,0)) &amp; REPT("☆",5-ROUND(E42*5,0))</f>
        <v>⭐⭐⭐⭐⭐</v>
      </c>
      <c r="G42" s="36"/>
      <c r="H42" s="3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11.0" customHeight="1">
      <c r="A43" s="80" t="s">
        <v>59</v>
      </c>
      <c r="B43" s="81"/>
      <c r="C43" s="81"/>
      <c r="D43" s="81"/>
      <c r="E43" s="81"/>
      <c r="F43" s="81"/>
      <c r="G43" s="81"/>
      <c r="H43" s="8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5"/>
      <c r="B44" s="45"/>
      <c r="C44" s="45"/>
      <c r="D44" s="45"/>
      <c r="E44" s="83"/>
      <c r="F44" s="83"/>
      <c r="G44" s="83"/>
      <c r="H44" s="8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4"/>
      <c r="AB44" s="4"/>
    </row>
    <row r="45">
      <c r="A45" s="45"/>
      <c r="B45" s="45"/>
      <c r="C45" s="45"/>
      <c r="D45" s="45"/>
      <c r="E45" s="45"/>
      <c r="F45" s="45"/>
      <c r="G45" s="45"/>
      <c r="H45" s="4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4"/>
      <c r="AB45" s="4"/>
    </row>
    <row r="46">
      <c r="A46" s="92" t="s">
        <v>62</v>
      </c>
      <c r="B46" s="2"/>
      <c r="C46" s="2"/>
      <c r="D46" s="2"/>
      <c r="E46" s="2"/>
      <c r="F46" s="2"/>
      <c r="G46" s="2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7" t="s">
        <v>63</v>
      </c>
      <c r="B47" s="36"/>
      <c r="C47" s="36"/>
      <c r="D47" s="55"/>
      <c r="E47" s="53"/>
      <c r="F47" s="57" t="str">
        <f>REPT("⭐",ROUND(E47*5,0)) &amp; REPT("☆",5-ROUND(E47*5,0))</f>
        <v>☆☆☆☆☆</v>
      </c>
      <c r="G47" s="36"/>
      <c r="H47" s="3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61.5" customHeight="1">
      <c r="A48" s="80" t="s">
        <v>65</v>
      </c>
      <c r="B48" s="81"/>
      <c r="C48" s="81"/>
      <c r="D48" s="81"/>
      <c r="E48" s="81"/>
      <c r="F48" s="81"/>
      <c r="G48" s="81"/>
      <c r="H48" s="8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7" t="s">
        <v>66</v>
      </c>
      <c r="B49" s="36"/>
      <c r="C49" s="36"/>
      <c r="D49" s="55"/>
      <c r="E49" s="53"/>
      <c r="F49" s="57" t="str">
        <f>REPT("⭐",ROUND(E49*5,0)) &amp; REPT("☆",5-ROUND(E49*5,0))</f>
        <v>☆☆☆☆☆</v>
      </c>
      <c r="G49" s="36"/>
      <c r="H49" s="3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5.25" customHeight="1">
      <c r="A50" s="87" t="s">
        <v>65</v>
      </c>
      <c r="B50" s="81"/>
      <c r="C50" s="81"/>
      <c r="D50" s="81"/>
      <c r="E50" s="81"/>
      <c r="F50" s="81"/>
      <c r="G50" s="81"/>
      <c r="H50" s="8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5"/>
      <c r="B51" s="45"/>
      <c r="C51" s="45"/>
      <c r="D51" s="45"/>
      <c r="E51" s="45"/>
      <c r="F51" s="45"/>
      <c r="G51" s="45"/>
      <c r="H51" s="4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4"/>
      <c r="AB51" s="4"/>
    </row>
    <row r="52">
      <c r="A52" s="92" t="s">
        <v>68</v>
      </c>
      <c r="B52" s="2"/>
      <c r="C52" s="2"/>
      <c r="D52" s="2"/>
      <c r="E52" s="2"/>
      <c r="F52" s="3"/>
      <c r="G52" s="93">
        <v>46204.0</v>
      </c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4" t="s">
        <v>70</v>
      </c>
      <c r="B53" s="95">
        <v>45.0</v>
      </c>
      <c r="C53" s="96"/>
      <c r="D53" s="94" t="s">
        <v>71</v>
      </c>
      <c r="E53" s="95">
        <f>SUM(E54:E55)</f>
        <v>7</v>
      </c>
      <c r="F53" s="96"/>
      <c r="G53" s="95" t="s">
        <v>72</v>
      </c>
      <c r="H53" s="97">
        <f t="shared" ref="H53:H55" si="1">E53/B53</f>
        <v>0.1555555556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8" t="s">
        <v>73</v>
      </c>
      <c r="B54" s="99">
        <v>40.0</v>
      </c>
      <c r="C54" s="100"/>
      <c r="D54" s="101" t="s">
        <v>74</v>
      </c>
      <c r="E54" s="102">
        <v>0.0</v>
      </c>
      <c r="F54" s="100"/>
      <c r="G54" s="99" t="s">
        <v>72</v>
      </c>
      <c r="H54" s="103">
        <f t="shared" si="1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4" t="s">
        <v>75</v>
      </c>
      <c r="B55" s="95">
        <v>5.0</v>
      </c>
      <c r="C55" s="96"/>
      <c r="D55" s="104" t="s">
        <v>76</v>
      </c>
      <c r="E55" s="105">
        <v>7.0</v>
      </c>
      <c r="F55" s="96"/>
      <c r="G55" s="95" t="s">
        <v>72</v>
      </c>
      <c r="H55" s="97">
        <f t="shared" si="1"/>
        <v>1.4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2" t="s">
        <v>77</v>
      </c>
      <c r="B56" s="2"/>
      <c r="C56" s="2"/>
      <c r="D56" s="2"/>
      <c r="E56" s="2"/>
      <c r="F56" s="3"/>
      <c r="G56" s="93">
        <v>46203.0</v>
      </c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6" t="s">
        <v>78</v>
      </c>
      <c r="G57" s="106" t="s">
        <v>79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7" t="s">
        <v>70</v>
      </c>
      <c r="B58" s="108">
        <f>B59+B60</f>
        <v>12000</v>
      </c>
      <c r="C58" s="109"/>
      <c r="D58" s="107" t="s">
        <v>71</v>
      </c>
      <c r="E58" s="108">
        <f>SUM(E59:E60)</f>
        <v>0</v>
      </c>
      <c r="F58" s="109"/>
      <c r="G58" s="108" t="s">
        <v>72</v>
      </c>
      <c r="H58" s="110">
        <f t="shared" ref="H58:H60" si="2">E58/B58</f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11" t="s">
        <v>73</v>
      </c>
      <c r="B59" s="112">
        <v>5000.0</v>
      </c>
      <c r="C59" s="113"/>
      <c r="D59" s="111" t="s">
        <v>80</v>
      </c>
      <c r="E59" s="112"/>
      <c r="F59" s="113"/>
      <c r="G59" s="112" t="s">
        <v>72</v>
      </c>
      <c r="H59" s="114">
        <f t="shared" si="2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11" t="s">
        <v>75</v>
      </c>
      <c r="B60" s="112">
        <v>7000.0</v>
      </c>
      <c r="C60" s="113"/>
      <c r="D60" s="111" t="s">
        <v>81</v>
      </c>
      <c r="E60" s="112"/>
      <c r="F60" s="113"/>
      <c r="G60" s="112" t="s">
        <v>72</v>
      </c>
      <c r="H60" s="114">
        <f t="shared" si="2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2" t="s">
        <v>82</v>
      </c>
      <c r="B61" s="2"/>
      <c r="C61" s="2"/>
      <c r="D61" s="2"/>
      <c r="E61" s="2"/>
      <c r="F61" s="3"/>
      <c r="G61" s="93">
        <v>46203.0</v>
      </c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 t="s">
        <v>70</v>
      </c>
      <c r="D62" s="115"/>
      <c r="G62" s="12" t="s">
        <v>83</v>
      </c>
      <c r="H62" s="116" t="str">
        <f>E58/D62</f>
        <v>#DIV/0!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17" t="str">
        <f>IF(H62&lt;=70%,"خسائر",IF(H62&lt;=80%,"مقبول",IF(H62&lt;=100%,"مكسب","فوق المتوقع")))</f>
        <v>#DIV/0!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2" t="s">
        <v>84</v>
      </c>
      <c r="B64" s="2"/>
      <c r="C64" s="2"/>
      <c r="D64" s="3"/>
      <c r="E64" s="92" t="s">
        <v>85</v>
      </c>
      <c r="F64" s="2"/>
      <c r="G64" s="2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6" t="s">
        <v>70</v>
      </c>
      <c r="D65" s="115">
        <v>2460.0</v>
      </c>
      <c r="G65" s="5"/>
      <c r="H65" s="11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17" t="str">
        <f>IF(E58&lt;D65,"سالب",IF(E58&gt;D65,"موجب",IF(E58=D65,"نقطة امان","يوجد خطأ")))</f>
        <v>سالب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2" t="s">
        <v>86</v>
      </c>
      <c r="B67" s="2"/>
      <c r="C67" s="2"/>
      <c r="D67" s="3"/>
      <c r="E67" s="92" t="s">
        <v>87</v>
      </c>
      <c r="F67" s="2"/>
      <c r="G67" s="2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17" t="str">
        <f>IF(E58&gt;=2460,"high", "low")</f>
        <v>low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19"/>
      <c r="E69" s="11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20"/>
      <c r="B70" s="121"/>
      <c r="C70" s="122"/>
      <c r="D70" s="15"/>
      <c r="E70" s="123"/>
      <c r="F70" s="3"/>
      <c r="G70" s="122"/>
      <c r="H70" s="8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20"/>
      <c r="B71" s="121"/>
      <c r="C71" s="122"/>
      <c r="D71" s="15"/>
      <c r="E71" s="123"/>
      <c r="F71" s="3"/>
      <c r="G71" s="122"/>
      <c r="H71" s="8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20"/>
      <c r="B72" s="121"/>
      <c r="C72" s="122"/>
      <c r="D72" s="15"/>
      <c r="E72" s="123"/>
      <c r="F72" s="3"/>
      <c r="G72" s="122"/>
      <c r="H72" s="8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20"/>
      <c r="B73" s="121"/>
      <c r="C73" s="122"/>
      <c r="D73" s="15"/>
      <c r="E73" s="123"/>
      <c r="F73" s="3"/>
      <c r="G73" s="122"/>
      <c r="H73" s="8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5"/>
      <c r="B74" s="15"/>
      <c r="C74" s="90"/>
      <c r="D74" s="15"/>
      <c r="E74" s="123"/>
      <c r="F74" s="3"/>
      <c r="G74" s="122"/>
      <c r="H74" s="8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24"/>
      <c r="B76" s="2"/>
      <c r="C76" s="2"/>
      <c r="D76" s="2"/>
      <c r="E76" s="2"/>
      <c r="F76" s="3"/>
      <c r="G76" s="12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11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25"/>
      <c r="C78" s="4"/>
      <c r="D78" s="4"/>
      <c r="E78" s="4"/>
      <c r="F78" s="4"/>
      <c r="G78" s="12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25"/>
      <c r="E79" s="12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5"/>
      <c r="B80" s="15"/>
      <c r="C80" s="15"/>
      <c r="D80" s="15"/>
      <c r="E80" s="15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25"/>
      <c r="D81" s="126"/>
      <c r="E81" s="37"/>
      <c r="F81" s="12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5"/>
      <c r="B82" s="15"/>
      <c r="C82" s="15"/>
      <c r="D82" s="15"/>
      <c r="E82" s="15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25"/>
      <c r="D83" s="4"/>
      <c r="E83" s="12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25"/>
      <c r="E84" s="12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E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2"/>
      <c r="E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E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2"/>
      <c r="E88" s="1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5"/>
      <c r="B1004" s="5"/>
      <c r="C1004" s="5"/>
      <c r="D1004" s="5"/>
      <c r="E1004" s="5"/>
      <c r="F1004" s="5"/>
      <c r="G1004" s="5"/>
      <c r="H1004" s="5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mergeCells count="107">
    <mergeCell ref="F5:G5"/>
    <mergeCell ref="F6:G6"/>
    <mergeCell ref="A1:H1"/>
    <mergeCell ref="A3:H3"/>
    <mergeCell ref="A4:C4"/>
    <mergeCell ref="F4:H4"/>
    <mergeCell ref="A5:A6"/>
    <mergeCell ref="B5:C5"/>
    <mergeCell ref="B6:C6"/>
    <mergeCell ref="A7:H7"/>
    <mergeCell ref="A8:H8"/>
    <mergeCell ref="A9:D9"/>
    <mergeCell ref="E9:H9"/>
    <mergeCell ref="A10:D10"/>
    <mergeCell ref="E10:H10"/>
    <mergeCell ref="E11:H11"/>
    <mergeCell ref="A11:D11"/>
    <mergeCell ref="A12:D12"/>
    <mergeCell ref="A13:D13"/>
    <mergeCell ref="A14:D14"/>
    <mergeCell ref="A15:B15"/>
    <mergeCell ref="C15:D15"/>
    <mergeCell ref="A17:C17"/>
    <mergeCell ref="F20:H20"/>
    <mergeCell ref="F21:G21"/>
    <mergeCell ref="F22:G22"/>
    <mergeCell ref="F23:G23"/>
    <mergeCell ref="F24:G24"/>
    <mergeCell ref="F25:G25"/>
    <mergeCell ref="F26:G26"/>
    <mergeCell ref="F28:H28"/>
    <mergeCell ref="E12:H12"/>
    <mergeCell ref="E13:H13"/>
    <mergeCell ref="E14:H14"/>
    <mergeCell ref="E15:F15"/>
    <mergeCell ref="G15:H15"/>
    <mergeCell ref="F17:H17"/>
    <mergeCell ref="A18:H18"/>
    <mergeCell ref="A20:C20"/>
    <mergeCell ref="A21:D26"/>
    <mergeCell ref="A28:C28"/>
    <mergeCell ref="A29:H29"/>
    <mergeCell ref="A31:C31"/>
    <mergeCell ref="F31:H31"/>
    <mergeCell ref="A32:H32"/>
    <mergeCell ref="A76:F76"/>
    <mergeCell ref="G76:H76"/>
    <mergeCell ref="E77:H77"/>
    <mergeCell ref="A79:D79"/>
    <mergeCell ref="E79:H79"/>
    <mergeCell ref="D81:E81"/>
    <mergeCell ref="F81:H81"/>
    <mergeCell ref="A81:C81"/>
    <mergeCell ref="A83:C83"/>
    <mergeCell ref="E83:H83"/>
    <mergeCell ref="A84:D84"/>
    <mergeCell ref="E84:H84"/>
    <mergeCell ref="A85:D85"/>
    <mergeCell ref="E85:H85"/>
    <mergeCell ref="A34:C34"/>
    <mergeCell ref="F34:H34"/>
    <mergeCell ref="A35:H35"/>
    <mergeCell ref="A38:C38"/>
    <mergeCell ref="F38:H38"/>
    <mergeCell ref="A39:H39"/>
    <mergeCell ref="A42:C42"/>
    <mergeCell ref="F42:H42"/>
    <mergeCell ref="A43:H43"/>
    <mergeCell ref="A46:H46"/>
    <mergeCell ref="A47:C47"/>
    <mergeCell ref="F47:H47"/>
    <mergeCell ref="A48:H48"/>
    <mergeCell ref="A49:C49"/>
    <mergeCell ref="F49:H49"/>
    <mergeCell ref="A50:H50"/>
    <mergeCell ref="A52:F52"/>
    <mergeCell ref="G52:H52"/>
    <mergeCell ref="A56:F56"/>
    <mergeCell ref="G56:H56"/>
    <mergeCell ref="G57:H57"/>
    <mergeCell ref="A57:F57"/>
    <mergeCell ref="A61:F61"/>
    <mergeCell ref="G61:H61"/>
    <mergeCell ref="A62:C62"/>
    <mergeCell ref="D62:F62"/>
    <mergeCell ref="A63:H63"/>
    <mergeCell ref="E64:H64"/>
    <mergeCell ref="A64:D64"/>
    <mergeCell ref="A65:C65"/>
    <mergeCell ref="D65:F65"/>
    <mergeCell ref="A66:H66"/>
    <mergeCell ref="A67:D67"/>
    <mergeCell ref="E67:H67"/>
    <mergeCell ref="A68:H68"/>
    <mergeCell ref="A69:D69"/>
    <mergeCell ref="E69:H69"/>
    <mergeCell ref="E70:F70"/>
    <mergeCell ref="E71:F71"/>
    <mergeCell ref="E72:F72"/>
    <mergeCell ref="E73:F73"/>
    <mergeCell ref="E74:F74"/>
    <mergeCell ref="A86:D86"/>
    <mergeCell ref="E86:H86"/>
    <mergeCell ref="A87:D87"/>
    <mergeCell ref="E87:H87"/>
    <mergeCell ref="A88:D88"/>
    <mergeCell ref="E88:H8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5"/>
      <c r="C2" s="5"/>
      <c r="D2" s="5"/>
      <c r="E2" s="5"/>
      <c r="F2" s="6">
        <v>46263.0</v>
      </c>
      <c r="G2" s="7" t="s">
        <v>1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 t="s">
        <v>3</v>
      </c>
      <c r="D4" s="10">
        <v>0.0</v>
      </c>
      <c r="E4" s="5"/>
      <c r="F4" s="11" t="s">
        <v>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 t="s">
        <v>5</v>
      </c>
      <c r="B5" s="12" t="s">
        <v>6</v>
      </c>
      <c r="D5" s="13" t="s">
        <v>7</v>
      </c>
      <c r="E5" s="5"/>
      <c r="F5" s="12" t="s">
        <v>8</v>
      </c>
      <c r="H5" s="13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2" t="s">
        <v>9</v>
      </c>
      <c r="D6" s="13">
        <v>0.0</v>
      </c>
      <c r="E6" s="5"/>
      <c r="F6" s="12" t="s">
        <v>10</v>
      </c>
      <c r="H6" s="13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4"/>
      <c r="B7" s="2"/>
      <c r="C7" s="2"/>
      <c r="D7" s="2"/>
      <c r="E7" s="2"/>
      <c r="F7" s="2"/>
      <c r="G7" s="2"/>
      <c r="H7" s="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4"/>
      <c r="AB7" s="4"/>
    </row>
    <row r="8">
      <c r="A8" s="16"/>
      <c r="B8" s="18"/>
      <c r="C8" s="18"/>
      <c r="D8" s="18"/>
      <c r="E8" s="18"/>
      <c r="F8" s="18"/>
      <c r="G8" s="18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4"/>
      <c r="AB8" s="4"/>
    </row>
    <row r="9">
      <c r="A9" s="20" t="s">
        <v>11</v>
      </c>
      <c r="B9" s="21"/>
      <c r="C9" s="21"/>
      <c r="D9" s="22"/>
      <c r="E9" s="23" t="s">
        <v>12</v>
      </c>
      <c r="F9" s="21"/>
      <c r="G9" s="21"/>
      <c r="H9" s="2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4" t="s">
        <v>13</v>
      </c>
      <c r="B10" s="25"/>
      <c r="C10" s="25"/>
      <c r="D10" s="26"/>
      <c r="E10" s="24" t="s">
        <v>14</v>
      </c>
      <c r="F10" s="25"/>
      <c r="G10" s="25"/>
      <c r="H10" s="2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7" t="s">
        <v>15</v>
      </c>
      <c r="B11" s="28"/>
      <c r="C11" s="28"/>
      <c r="D11" s="29"/>
      <c r="E11" s="30" t="s">
        <v>15</v>
      </c>
      <c r="F11" s="28"/>
      <c r="G11" s="28"/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44.25" customHeight="1">
      <c r="A12" s="31" t="s">
        <v>24</v>
      </c>
      <c r="B12" s="18"/>
      <c r="C12" s="18"/>
      <c r="D12" s="32"/>
      <c r="E12" s="33" t="s">
        <v>24</v>
      </c>
      <c r="F12" s="18"/>
      <c r="G12" s="18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5.5" customHeight="1">
      <c r="A13" s="35" t="s">
        <v>21</v>
      </c>
      <c r="B13" s="36"/>
      <c r="C13" s="36"/>
      <c r="D13" s="37"/>
      <c r="E13" s="38" t="s">
        <v>21</v>
      </c>
      <c r="F13" s="36"/>
      <c r="G13" s="36"/>
      <c r="H13" s="3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57.75" customHeight="1">
      <c r="A14" s="35" t="s">
        <v>24</v>
      </c>
      <c r="B14" s="36"/>
      <c r="C14" s="36"/>
      <c r="D14" s="37"/>
      <c r="E14" s="38" t="s">
        <v>24</v>
      </c>
      <c r="F14" s="36"/>
      <c r="G14" s="36"/>
      <c r="H14" s="3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0">
        <v>100.0</v>
      </c>
      <c r="B15" s="3"/>
      <c r="C15" s="41" t="s">
        <v>25</v>
      </c>
      <c r="D15" s="42"/>
      <c r="E15" s="40" t="s">
        <v>88</v>
      </c>
      <c r="F15" s="3"/>
      <c r="G15" s="43" t="s">
        <v>25</v>
      </c>
      <c r="H15" s="4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5"/>
      <c r="B16" s="45"/>
      <c r="C16" s="45"/>
      <c r="D16" s="46"/>
      <c r="E16" s="45"/>
      <c r="F16" s="45"/>
      <c r="G16" s="45"/>
      <c r="H16" s="4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  <c r="AB16" s="4"/>
    </row>
    <row r="17">
      <c r="A17" s="49" t="s">
        <v>26</v>
      </c>
      <c r="B17" s="36"/>
      <c r="C17" s="36"/>
      <c r="D17" s="51"/>
      <c r="E17" s="53">
        <v>0.9</v>
      </c>
      <c r="F17" s="57" t="str">
        <f>REPT("⭐",ROUND(E17*5,0)) &amp; REPT("☆",5-ROUND(E17*5,0))</f>
        <v>⭐⭐⭐⭐⭐</v>
      </c>
      <c r="G17" s="36"/>
      <c r="H17" s="3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57.0" customHeight="1">
      <c r="A18" s="52" t="s">
        <v>89</v>
      </c>
      <c r="B18" s="28"/>
      <c r="C18" s="28"/>
      <c r="D18" s="28"/>
      <c r="E18" s="28"/>
      <c r="F18" s="28"/>
      <c r="G18" s="28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5"/>
      <c r="B19" s="45"/>
      <c r="C19" s="45"/>
      <c r="D19" s="45"/>
      <c r="E19" s="45"/>
      <c r="F19" s="45"/>
      <c r="G19" s="45"/>
      <c r="H19" s="4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4"/>
      <c r="AB19" s="4"/>
    </row>
    <row r="20">
      <c r="A20" s="49" t="s">
        <v>28</v>
      </c>
      <c r="B20" s="36"/>
      <c r="C20" s="36"/>
      <c r="D20" s="55"/>
      <c r="E20" s="56">
        <v>0.6</v>
      </c>
      <c r="F20" s="58" t="str">
        <f>REPT("⭐",ROUND(E20*5,0)) &amp; REPT("☆",5-ROUND(E20*5,0))</f>
        <v>⭐⭐⭐☆☆</v>
      </c>
      <c r="G20" s="59"/>
      <c r="H20" s="6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1" t="s">
        <v>90</v>
      </c>
      <c r="D21" s="68"/>
      <c r="E21" s="69">
        <v>0.0</v>
      </c>
      <c r="F21" s="63" t="s">
        <v>32</v>
      </c>
      <c r="G21" s="64"/>
      <c r="H21" s="73" t="s">
        <v>42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D22" s="68"/>
      <c r="E22" s="69">
        <v>0.0</v>
      </c>
      <c r="F22" s="63" t="s">
        <v>34</v>
      </c>
      <c r="G22" s="64"/>
      <c r="H22" s="73" t="s">
        <v>42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D23" s="68"/>
      <c r="E23" s="69">
        <v>0.0</v>
      </c>
      <c r="F23" s="63" t="s">
        <v>38</v>
      </c>
      <c r="G23" s="64"/>
      <c r="H23" s="73" t="s">
        <v>47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D24" s="68"/>
      <c r="E24" s="76">
        <v>0.0</v>
      </c>
      <c r="F24" s="63" t="s">
        <v>41</v>
      </c>
      <c r="G24" s="64"/>
      <c r="H24" s="73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D25" s="68"/>
      <c r="E25" s="76">
        <v>0.0</v>
      </c>
      <c r="F25" s="67" t="s">
        <v>36</v>
      </c>
      <c r="G25" s="64"/>
      <c r="H25" s="73" t="s">
        <v>42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79"/>
      <c r="B26" s="28"/>
      <c r="C26" s="28"/>
      <c r="D26" s="29"/>
      <c r="E26" s="76">
        <v>0.0</v>
      </c>
      <c r="F26" s="63" t="s">
        <v>37</v>
      </c>
      <c r="G26" s="64"/>
      <c r="H26" s="73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5"/>
      <c r="B27" s="45"/>
      <c r="C27" s="45"/>
      <c r="D27" s="45"/>
      <c r="E27" s="74"/>
      <c r="F27" s="75"/>
      <c r="G27" s="75"/>
      <c r="H27" s="7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4"/>
      <c r="AB27" s="4"/>
    </row>
    <row r="28">
      <c r="A28" s="77" t="s">
        <v>44</v>
      </c>
      <c r="B28" s="36"/>
      <c r="C28" s="36"/>
      <c r="D28" s="55"/>
      <c r="E28" s="78">
        <v>0.7</v>
      </c>
      <c r="F28" s="57" t="str">
        <f>REPT("⭐",ROUND(E28*5,0)) &amp; REPT("☆",5-ROUND(E28*5,0))</f>
        <v>⭐⭐⭐⭐☆</v>
      </c>
      <c r="G28" s="36"/>
      <c r="H28" s="3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75.75" customHeight="1">
      <c r="A29" s="80" t="s">
        <v>91</v>
      </c>
      <c r="B29" s="81"/>
      <c r="C29" s="81"/>
      <c r="D29" s="81"/>
      <c r="E29" s="81"/>
      <c r="F29" s="81"/>
      <c r="G29" s="81"/>
      <c r="H29" s="8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5"/>
      <c r="B30" s="45"/>
      <c r="C30" s="45"/>
      <c r="D30" s="45"/>
      <c r="E30" s="46"/>
      <c r="F30" s="83"/>
      <c r="G30" s="83"/>
      <c r="H30" s="8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"/>
      <c r="AB30" s="4"/>
    </row>
    <row r="31">
      <c r="A31" s="77" t="s">
        <v>48</v>
      </c>
      <c r="B31" s="36"/>
      <c r="C31" s="36"/>
      <c r="D31" s="55"/>
      <c r="E31" s="127">
        <v>70.0</v>
      </c>
      <c r="F31" s="57" t="str">
        <f>REPT("⭐",ROUND(E31*5,0)) &amp; REPT("☆",5-ROUND(E31*5,0))</f>
        <v>#VALUE!</v>
      </c>
      <c r="G31" s="36"/>
      <c r="H31" s="3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9.75" customHeight="1">
      <c r="A32" s="80" t="s">
        <v>92</v>
      </c>
      <c r="B32" s="81"/>
      <c r="C32" s="81"/>
      <c r="D32" s="81"/>
      <c r="E32" s="81"/>
      <c r="F32" s="81"/>
      <c r="G32" s="81"/>
      <c r="H32" s="8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5"/>
      <c r="B33" s="45"/>
      <c r="C33" s="45"/>
      <c r="D33" s="45"/>
      <c r="E33" s="46"/>
      <c r="F33" s="83"/>
      <c r="G33" s="83"/>
      <c r="H33" s="8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4"/>
      <c r="AB33" s="4"/>
    </row>
    <row r="34">
      <c r="A34" s="77" t="s">
        <v>50</v>
      </c>
      <c r="B34" s="36"/>
      <c r="C34" s="36"/>
      <c r="D34" s="55"/>
      <c r="E34" s="53">
        <v>0.9</v>
      </c>
      <c r="F34" s="57" t="str">
        <f>REPT("⭐",ROUND(E34*5,0)) &amp; REPT("☆",5-ROUND(E34*5,0))</f>
        <v>⭐⭐⭐⭐⭐</v>
      </c>
      <c r="G34" s="36"/>
      <c r="H34" s="3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54.75" customHeight="1">
      <c r="A35" s="80" t="s">
        <v>93</v>
      </c>
      <c r="B35" s="81"/>
      <c r="C35" s="81"/>
      <c r="D35" s="81"/>
      <c r="E35" s="81"/>
      <c r="F35" s="81"/>
      <c r="G35" s="81"/>
      <c r="H35" s="8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5"/>
      <c r="B36" s="45"/>
      <c r="C36" s="45"/>
      <c r="D36" s="45"/>
      <c r="E36" s="46"/>
      <c r="F36" s="83"/>
      <c r="G36" s="83"/>
      <c r="H36" s="8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4"/>
      <c r="AB36" s="4"/>
    </row>
    <row r="37">
      <c r="A37" s="45"/>
      <c r="B37" s="45"/>
      <c r="C37" s="45"/>
      <c r="D37" s="45"/>
      <c r="E37" s="46"/>
      <c r="F37" s="83"/>
      <c r="G37" s="83"/>
      <c r="H37" s="8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"/>
      <c r="AB37" s="4"/>
    </row>
    <row r="38">
      <c r="A38" s="84" t="s">
        <v>54</v>
      </c>
      <c r="B38" s="59"/>
      <c r="C38" s="59"/>
      <c r="D38" s="85"/>
      <c r="E38" s="86" t="s">
        <v>56</v>
      </c>
      <c r="F38" s="58" t="str">
        <f>REPT("⭐",ROUND(E38*5,0)) &amp; REPT("☆",5-ROUND(E38*5,0))</f>
        <v>⭐⭐⭐⭐⭐</v>
      </c>
      <c r="G38" s="59"/>
      <c r="H38" s="6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53.25" customHeight="1">
      <c r="A39" s="87" t="s">
        <v>59</v>
      </c>
      <c r="B39" s="81"/>
      <c r="C39" s="81"/>
      <c r="D39" s="81"/>
      <c r="E39" s="81"/>
      <c r="F39" s="81"/>
      <c r="G39" s="81"/>
      <c r="H39" s="8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8"/>
      <c r="B40" s="88"/>
      <c r="C40" s="88"/>
      <c r="D40" s="88"/>
      <c r="E40" s="74"/>
      <c r="F40" s="75"/>
      <c r="G40" s="75"/>
      <c r="H40" s="7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4"/>
      <c r="AB40" s="4"/>
    </row>
    <row r="41">
      <c r="A41" s="45"/>
      <c r="B41" s="45"/>
      <c r="C41" s="45"/>
      <c r="D41" s="45"/>
      <c r="E41" s="46"/>
      <c r="F41" s="83"/>
      <c r="G41" s="83"/>
      <c r="H41" s="83"/>
      <c r="I41" s="15"/>
      <c r="J41" s="15"/>
      <c r="K41" s="15"/>
      <c r="L41" s="15"/>
      <c r="M41" s="89"/>
      <c r="N41" s="90"/>
      <c r="O41" s="90"/>
      <c r="P41" s="90"/>
      <c r="Q41" s="15"/>
      <c r="R41" s="15"/>
      <c r="S41" s="15"/>
      <c r="T41" s="15"/>
      <c r="U41" s="89"/>
      <c r="V41" s="90"/>
      <c r="W41" s="90"/>
      <c r="X41" s="90"/>
      <c r="Y41" s="4"/>
      <c r="Z41" s="4"/>
      <c r="AA41" s="4"/>
      <c r="AB41" s="4"/>
    </row>
    <row r="42">
      <c r="A42" s="77" t="s">
        <v>60</v>
      </c>
      <c r="B42" s="36"/>
      <c r="C42" s="36"/>
      <c r="D42" s="55"/>
      <c r="E42" s="91">
        <v>1.0</v>
      </c>
      <c r="F42" s="57" t="str">
        <f>REPT("⭐",ROUND(E42*5,0)) &amp; REPT("☆",5-ROUND(E42*5,0))</f>
        <v>⭐⭐⭐⭐⭐</v>
      </c>
      <c r="G42" s="36"/>
      <c r="H42" s="3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11.0" customHeight="1">
      <c r="A43" s="80" t="s">
        <v>94</v>
      </c>
      <c r="B43" s="81"/>
      <c r="C43" s="81"/>
      <c r="D43" s="81"/>
      <c r="E43" s="81"/>
      <c r="F43" s="81"/>
      <c r="G43" s="81"/>
      <c r="H43" s="8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5"/>
      <c r="B44" s="45"/>
      <c r="C44" s="45"/>
      <c r="D44" s="45"/>
      <c r="E44" s="83"/>
      <c r="F44" s="83"/>
      <c r="G44" s="83"/>
      <c r="H44" s="8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4"/>
      <c r="AB44" s="4"/>
    </row>
    <row r="45">
      <c r="A45" s="45"/>
      <c r="B45" s="45"/>
      <c r="C45" s="45"/>
      <c r="D45" s="45"/>
      <c r="E45" s="45"/>
      <c r="F45" s="45"/>
      <c r="G45" s="45"/>
      <c r="H45" s="4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4"/>
      <c r="AB45" s="4"/>
    </row>
    <row r="46">
      <c r="A46" s="92" t="s">
        <v>62</v>
      </c>
      <c r="B46" s="2"/>
      <c r="C46" s="2"/>
      <c r="D46" s="2"/>
      <c r="E46" s="2"/>
      <c r="F46" s="2"/>
      <c r="G46" s="2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7" t="s">
        <v>63</v>
      </c>
      <c r="B47" s="36"/>
      <c r="C47" s="36"/>
      <c r="D47" s="55"/>
      <c r="E47" s="78">
        <v>0.9</v>
      </c>
      <c r="F47" s="57" t="str">
        <f>REPT("⭐",ROUND(E47*5,0)) &amp; REPT("☆",5-ROUND(E47*5,0))</f>
        <v>⭐⭐⭐⭐⭐</v>
      </c>
      <c r="G47" s="36"/>
      <c r="H47" s="3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61.5" customHeight="1">
      <c r="A48" s="80" t="s">
        <v>95</v>
      </c>
      <c r="B48" s="81"/>
      <c r="C48" s="81"/>
      <c r="D48" s="81"/>
      <c r="E48" s="81"/>
      <c r="F48" s="81"/>
      <c r="G48" s="81"/>
      <c r="H48" s="8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7" t="s">
        <v>66</v>
      </c>
      <c r="B49" s="36"/>
      <c r="C49" s="36"/>
      <c r="D49" s="55"/>
      <c r="E49" s="78">
        <v>1.0</v>
      </c>
      <c r="F49" s="57" t="str">
        <f>REPT("⭐",ROUND(E49*5,0)) &amp; REPT("☆",5-ROUND(E49*5,0))</f>
        <v>⭐⭐⭐⭐⭐</v>
      </c>
      <c r="G49" s="36"/>
      <c r="H49" s="3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5.25" customHeight="1">
      <c r="A50" s="87" t="s">
        <v>96</v>
      </c>
      <c r="B50" s="81"/>
      <c r="C50" s="81"/>
      <c r="D50" s="81"/>
      <c r="E50" s="81"/>
      <c r="F50" s="81"/>
      <c r="G50" s="81"/>
      <c r="H50" s="8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5"/>
      <c r="B51" s="45"/>
      <c r="C51" s="45"/>
      <c r="D51" s="45"/>
      <c r="E51" s="45"/>
      <c r="F51" s="45"/>
      <c r="G51" s="45"/>
      <c r="H51" s="4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4"/>
      <c r="AB51" s="4"/>
    </row>
    <row r="52">
      <c r="A52" s="92" t="s">
        <v>68</v>
      </c>
      <c r="B52" s="2"/>
      <c r="C52" s="2"/>
      <c r="D52" s="2"/>
      <c r="E52" s="2"/>
      <c r="F52" s="3"/>
      <c r="G52" s="93">
        <v>46204.0</v>
      </c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4" t="s">
        <v>70</v>
      </c>
      <c r="B53" s="95">
        <v>45.0</v>
      </c>
      <c r="C53" s="96"/>
      <c r="D53" s="94" t="s">
        <v>71</v>
      </c>
      <c r="E53" s="95">
        <f>SUM(E54:E55)</f>
        <v>18</v>
      </c>
      <c r="F53" s="96"/>
      <c r="G53" s="95" t="s">
        <v>72</v>
      </c>
      <c r="H53" s="97">
        <f t="shared" ref="H53:H55" si="1">E53/B53</f>
        <v>0.4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8" t="s">
        <v>73</v>
      </c>
      <c r="B54" s="99">
        <v>40.0</v>
      </c>
      <c r="C54" s="100"/>
      <c r="D54" s="101" t="s">
        <v>74</v>
      </c>
      <c r="E54" s="102">
        <v>0.0</v>
      </c>
      <c r="F54" s="100"/>
      <c r="G54" s="99" t="s">
        <v>72</v>
      </c>
      <c r="H54" s="103">
        <f t="shared" si="1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4" t="s">
        <v>75</v>
      </c>
      <c r="B55" s="95">
        <v>5.0</v>
      </c>
      <c r="C55" s="96"/>
      <c r="D55" s="104" t="s">
        <v>76</v>
      </c>
      <c r="E55" s="105">
        <v>18.0</v>
      </c>
      <c r="F55" s="96"/>
      <c r="G55" s="95" t="s">
        <v>72</v>
      </c>
      <c r="H55" s="97">
        <f t="shared" si="1"/>
        <v>3.6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2" t="s">
        <v>77</v>
      </c>
      <c r="B56" s="2"/>
      <c r="C56" s="2"/>
      <c r="D56" s="2"/>
      <c r="E56" s="2"/>
      <c r="F56" s="3"/>
      <c r="G56" s="93">
        <v>46203.0</v>
      </c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6" t="s">
        <v>78</v>
      </c>
      <c r="G57" s="106" t="s">
        <v>79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7" t="s">
        <v>70</v>
      </c>
      <c r="B58" s="108">
        <f>B59+B60</f>
        <v>12000</v>
      </c>
      <c r="C58" s="109"/>
      <c r="D58" s="107" t="s">
        <v>71</v>
      </c>
      <c r="E58" s="108">
        <f>SUM(E59:E60)</f>
        <v>0</v>
      </c>
      <c r="F58" s="109"/>
      <c r="G58" s="108" t="s">
        <v>72</v>
      </c>
      <c r="H58" s="110">
        <f t="shared" ref="H58:H60" si="2">E58/B58</f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11" t="s">
        <v>73</v>
      </c>
      <c r="B59" s="112">
        <v>5000.0</v>
      </c>
      <c r="C59" s="113"/>
      <c r="D59" s="111" t="s">
        <v>80</v>
      </c>
      <c r="E59" s="112"/>
      <c r="F59" s="113"/>
      <c r="G59" s="112" t="s">
        <v>72</v>
      </c>
      <c r="H59" s="114">
        <f t="shared" si="2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11" t="s">
        <v>75</v>
      </c>
      <c r="B60" s="112">
        <v>7000.0</v>
      </c>
      <c r="C60" s="113"/>
      <c r="D60" s="111" t="s">
        <v>81</v>
      </c>
      <c r="E60" s="112"/>
      <c r="F60" s="113"/>
      <c r="G60" s="112" t="s">
        <v>72</v>
      </c>
      <c r="H60" s="114">
        <f t="shared" si="2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2" t="s">
        <v>82</v>
      </c>
      <c r="B61" s="2"/>
      <c r="C61" s="2"/>
      <c r="D61" s="2"/>
      <c r="E61" s="2"/>
      <c r="F61" s="3"/>
      <c r="G61" s="93">
        <v>46203.0</v>
      </c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 t="s">
        <v>70</v>
      </c>
      <c r="D62" s="115"/>
      <c r="G62" s="12" t="s">
        <v>83</v>
      </c>
      <c r="H62" s="116" t="str">
        <f>E58/D62</f>
        <v>#DIV/0!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17" t="str">
        <f>IF(H62&lt;=70%,"خسائر",IF(H62&lt;=80%,"مقبول",IF(H62&lt;=100%,"مكسب","فوق المتوقع")))</f>
        <v>#DIV/0!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2" t="s">
        <v>84</v>
      </c>
      <c r="B64" s="2"/>
      <c r="C64" s="2"/>
      <c r="D64" s="3"/>
      <c r="E64" s="92" t="s">
        <v>85</v>
      </c>
      <c r="F64" s="2"/>
      <c r="G64" s="2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6" t="s">
        <v>70</v>
      </c>
      <c r="D65" s="115">
        <v>2460.0</v>
      </c>
      <c r="G65" s="5"/>
      <c r="H65" s="11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17" t="str">
        <f>IF(E58&lt;D65,"سالب",IF(E58&gt;D65,"موجب",IF(E58=D65,"نقطة امان","يوجد خطأ")))</f>
        <v>سالب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2" t="s">
        <v>86</v>
      </c>
      <c r="B67" s="2"/>
      <c r="C67" s="2"/>
      <c r="D67" s="3"/>
      <c r="E67" s="92" t="s">
        <v>87</v>
      </c>
      <c r="F67" s="2"/>
      <c r="G67" s="2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17" t="str">
        <f>IF(E58&gt;=2460,"high", "low")</f>
        <v>low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19"/>
      <c r="E69" s="11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20"/>
      <c r="B70" s="121"/>
      <c r="C70" s="122"/>
      <c r="D70" s="15"/>
      <c r="E70" s="123"/>
      <c r="F70" s="3"/>
      <c r="G70" s="122"/>
      <c r="H70" s="8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20"/>
      <c r="B71" s="121"/>
      <c r="C71" s="122"/>
      <c r="D71" s="15"/>
      <c r="E71" s="123"/>
      <c r="F71" s="3"/>
      <c r="G71" s="122"/>
      <c r="H71" s="8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20"/>
      <c r="B72" s="121"/>
      <c r="C72" s="122"/>
      <c r="D72" s="15"/>
      <c r="E72" s="123"/>
      <c r="F72" s="3"/>
      <c r="G72" s="122"/>
      <c r="H72" s="8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20"/>
      <c r="B73" s="121"/>
      <c r="C73" s="122"/>
      <c r="D73" s="15"/>
      <c r="E73" s="123"/>
      <c r="F73" s="3"/>
      <c r="G73" s="122"/>
      <c r="H73" s="8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5"/>
      <c r="B74" s="15"/>
      <c r="C74" s="90"/>
      <c r="D74" s="15"/>
      <c r="E74" s="123"/>
      <c r="F74" s="3"/>
      <c r="G74" s="122"/>
      <c r="H74" s="8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24"/>
      <c r="B76" s="2"/>
      <c r="C76" s="2"/>
      <c r="D76" s="2"/>
      <c r="E76" s="2"/>
      <c r="F76" s="3"/>
      <c r="G76" s="12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11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25"/>
      <c r="C78" s="4"/>
      <c r="D78" s="4"/>
      <c r="E78" s="4"/>
      <c r="F78" s="4"/>
      <c r="G78" s="12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25"/>
      <c r="E79" s="12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5"/>
      <c r="B80" s="15"/>
      <c r="C80" s="15"/>
      <c r="D80" s="15"/>
      <c r="E80" s="15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25"/>
      <c r="D81" s="126"/>
      <c r="E81" s="37"/>
      <c r="F81" s="12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5"/>
      <c r="B82" s="15"/>
      <c r="C82" s="15"/>
      <c r="D82" s="15"/>
      <c r="E82" s="15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25"/>
      <c r="D83" s="4"/>
      <c r="E83" s="12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25"/>
      <c r="E84" s="12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E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2"/>
      <c r="E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E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2"/>
      <c r="E88" s="1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5"/>
      <c r="B1004" s="5"/>
      <c r="C1004" s="5"/>
      <c r="D1004" s="5"/>
      <c r="E1004" s="5"/>
      <c r="F1004" s="5"/>
      <c r="G1004" s="5"/>
      <c r="H1004" s="5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mergeCells count="107">
    <mergeCell ref="F5:G5"/>
    <mergeCell ref="F6:G6"/>
    <mergeCell ref="A1:H1"/>
    <mergeCell ref="A3:H3"/>
    <mergeCell ref="A4:C4"/>
    <mergeCell ref="F4:H4"/>
    <mergeCell ref="A5:A6"/>
    <mergeCell ref="B5:C5"/>
    <mergeCell ref="B6:C6"/>
    <mergeCell ref="A7:H7"/>
    <mergeCell ref="A8:H8"/>
    <mergeCell ref="A9:D9"/>
    <mergeCell ref="E9:H9"/>
    <mergeCell ref="A10:D10"/>
    <mergeCell ref="E10:H10"/>
    <mergeCell ref="E11:H11"/>
    <mergeCell ref="A11:D11"/>
    <mergeCell ref="A12:D12"/>
    <mergeCell ref="A13:D13"/>
    <mergeCell ref="A14:D14"/>
    <mergeCell ref="A15:B15"/>
    <mergeCell ref="C15:D15"/>
    <mergeCell ref="A17:C17"/>
    <mergeCell ref="F20:H20"/>
    <mergeCell ref="F21:G21"/>
    <mergeCell ref="F22:G22"/>
    <mergeCell ref="F23:G23"/>
    <mergeCell ref="F24:G24"/>
    <mergeCell ref="F25:G25"/>
    <mergeCell ref="F26:G26"/>
    <mergeCell ref="F28:H28"/>
    <mergeCell ref="E12:H12"/>
    <mergeCell ref="E13:H13"/>
    <mergeCell ref="E14:H14"/>
    <mergeCell ref="E15:F15"/>
    <mergeCell ref="G15:H15"/>
    <mergeCell ref="F17:H17"/>
    <mergeCell ref="A18:H18"/>
    <mergeCell ref="A20:C20"/>
    <mergeCell ref="A21:D26"/>
    <mergeCell ref="A28:C28"/>
    <mergeCell ref="A29:H29"/>
    <mergeCell ref="A31:C31"/>
    <mergeCell ref="F31:H31"/>
    <mergeCell ref="A32:H32"/>
    <mergeCell ref="A76:F76"/>
    <mergeCell ref="G76:H76"/>
    <mergeCell ref="E77:H77"/>
    <mergeCell ref="A79:D79"/>
    <mergeCell ref="E79:H79"/>
    <mergeCell ref="D81:E81"/>
    <mergeCell ref="F81:H81"/>
    <mergeCell ref="A81:C81"/>
    <mergeCell ref="A83:C83"/>
    <mergeCell ref="E83:H83"/>
    <mergeCell ref="A84:D84"/>
    <mergeCell ref="E84:H84"/>
    <mergeCell ref="A85:D85"/>
    <mergeCell ref="E85:H85"/>
    <mergeCell ref="A34:C34"/>
    <mergeCell ref="F34:H34"/>
    <mergeCell ref="A35:H35"/>
    <mergeCell ref="A38:C38"/>
    <mergeCell ref="F38:H38"/>
    <mergeCell ref="A39:H39"/>
    <mergeCell ref="A42:C42"/>
    <mergeCell ref="F42:H42"/>
    <mergeCell ref="A43:H43"/>
    <mergeCell ref="A46:H46"/>
    <mergeCell ref="A47:C47"/>
    <mergeCell ref="F47:H47"/>
    <mergeCell ref="A48:H48"/>
    <mergeCell ref="A49:C49"/>
    <mergeCell ref="F49:H49"/>
    <mergeCell ref="A50:H50"/>
    <mergeCell ref="A52:F52"/>
    <mergeCell ref="G52:H52"/>
    <mergeCell ref="A56:F56"/>
    <mergeCell ref="G56:H56"/>
    <mergeCell ref="G57:H57"/>
    <mergeCell ref="A57:F57"/>
    <mergeCell ref="A61:F61"/>
    <mergeCell ref="G61:H61"/>
    <mergeCell ref="A62:C62"/>
    <mergeCell ref="D62:F62"/>
    <mergeCell ref="A63:H63"/>
    <mergeCell ref="E64:H64"/>
    <mergeCell ref="A64:D64"/>
    <mergeCell ref="A65:C65"/>
    <mergeCell ref="D65:F65"/>
    <mergeCell ref="A66:H66"/>
    <mergeCell ref="A67:D67"/>
    <mergeCell ref="E67:H67"/>
    <mergeCell ref="A68:H68"/>
    <mergeCell ref="A69:D69"/>
    <mergeCell ref="E69:H69"/>
    <mergeCell ref="E70:F70"/>
    <mergeCell ref="E71:F71"/>
    <mergeCell ref="E72:F72"/>
    <mergeCell ref="E73:F73"/>
    <mergeCell ref="E74:F74"/>
    <mergeCell ref="A86:D86"/>
    <mergeCell ref="E86:H86"/>
    <mergeCell ref="A87:D87"/>
    <mergeCell ref="E87:H87"/>
    <mergeCell ref="A88:D88"/>
    <mergeCell ref="E88:H8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5"/>
      <c r="C2" s="5"/>
      <c r="D2" s="5"/>
      <c r="E2" s="5"/>
      <c r="F2" s="6">
        <v>46259.0</v>
      </c>
      <c r="G2" s="7" t="s">
        <v>1</v>
      </c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9" t="s">
        <v>3</v>
      </c>
      <c r="D4" s="10">
        <v>0.0</v>
      </c>
      <c r="E4" s="5"/>
      <c r="F4" s="11" t="s">
        <v>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2" t="s">
        <v>5</v>
      </c>
      <c r="B5" s="12" t="s">
        <v>6</v>
      </c>
      <c r="D5" s="13" t="s">
        <v>7</v>
      </c>
      <c r="E5" s="5"/>
      <c r="F5" s="12" t="s">
        <v>8</v>
      </c>
      <c r="H5" s="13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2" t="s">
        <v>9</v>
      </c>
      <c r="D6" s="13">
        <v>0.0</v>
      </c>
      <c r="E6" s="5"/>
      <c r="F6" s="12" t="s">
        <v>10</v>
      </c>
      <c r="H6" s="13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4"/>
      <c r="B7" s="2"/>
      <c r="C7" s="2"/>
      <c r="D7" s="2"/>
      <c r="E7" s="2"/>
      <c r="F7" s="2"/>
      <c r="G7" s="2"/>
      <c r="H7" s="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4"/>
      <c r="AB7" s="4"/>
    </row>
    <row r="8">
      <c r="A8" s="16"/>
      <c r="B8" s="18"/>
      <c r="C8" s="18"/>
      <c r="D8" s="18"/>
      <c r="E8" s="18"/>
      <c r="F8" s="18"/>
      <c r="G8" s="18"/>
      <c r="H8" s="1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4"/>
      <c r="AB8" s="4"/>
    </row>
    <row r="9">
      <c r="A9" s="20" t="s">
        <v>11</v>
      </c>
      <c r="B9" s="21"/>
      <c r="C9" s="21"/>
      <c r="D9" s="22"/>
      <c r="E9" s="23" t="s">
        <v>12</v>
      </c>
      <c r="F9" s="21"/>
      <c r="G9" s="21"/>
      <c r="H9" s="2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4" t="s">
        <v>13</v>
      </c>
      <c r="B10" s="25"/>
      <c r="C10" s="25"/>
      <c r="D10" s="26"/>
      <c r="E10" s="24" t="s">
        <v>14</v>
      </c>
      <c r="F10" s="25"/>
      <c r="G10" s="25"/>
      <c r="H10" s="2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7" t="s">
        <v>15</v>
      </c>
      <c r="B11" s="28"/>
      <c r="C11" s="28"/>
      <c r="D11" s="29"/>
      <c r="E11" s="30" t="s">
        <v>15</v>
      </c>
      <c r="F11" s="28"/>
      <c r="G11" s="28"/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44.25" customHeight="1">
      <c r="A12" s="34"/>
      <c r="B12" s="18"/>
      <c r="C12" s="18"/>
      <c r="D12" s="32"/>
      <c r="E12" s="33"/>
      <c r="F12" s="18"/>
      <c r="G12" s="18"/>
      <c r="H12" s="32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5.5" customHeight="1">
      <c r="A13" s="35" t="s">
        <v>21</v>
      </c>
      <c r="B13" s="36"/>
      <c r="C13" s="36"/>
      <c r="D13" s="37"/>
      <c r="E13" s="38" t="s">
        <v>21</v>
      </c>
      <c r="F13" s="36"/>
      <c r="G13" s="36"/>
      <c r="H13" s="3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57.75" customHeight="1">
      <c r="A14" s="35"/>
      <c r="B14" s="36"/>
      <c r="C14" s="36"/>
      <c r="D14" s="37"/>
      <c r="E14" s="38"/>
      <c r="F14" s="36"/>
      <c r="G14" s="36"/>
      <c r="H14" s="3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0">
        <v>50.0</v>
      </c>
      <c r="B15" s="3"/>
      <c r="C15" s="41" t="s">
        <v>25</v>
      </c>
      <c r="D15" s="42"/>
      <c r="E15" s="39">
        <v>0.8</v>
      </c>
      <c r="F15" s="3"/>
      <c r="G15" s="43" t="s">
        <v>25</v>
      </c>
      <c r="H15" s="42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5"/>
      <c r="B16" s="45"/>
      <c r="C16" s="45"/>
      <c r="D16" s="46"/>
      <c r="E16" s="45"/>
      <c r="F16" s="45"/>
      <c r="G16" s="45"/>
      <c r="H16" s="4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4"/>
      <c r="AB16" s="4"/>
    </row>
    <row r="17">
      <c r="A17" s="49" t="s">
        <v>26</v>
      </c>
      <c r="B17" s="36"/>
      <c r="C17" s="36"/>
      <c r="D17" s="51"/>
      <c r="E17" s="53">
        <v>0.9</v>
      </c>
      <c r="F17" s="57" t="str">
        <f>REPT("⭐",ROUND(E17*5,0)) &amp; REPT("☆",5-ROUND(E17*5,0))</f>
        <v>⭐⭐⭐⭐⭐</v>
      </c>
      <c r="G17" s="36"/>
      <c r="H17" s="3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57.0" customHeight="1">
      <c r="A18" s="52"/>
      <c r="B18" s="28"/>
      <c r="C18" s="28"/>
      <c r="D18" s="28"/>
      <c r="E18" s="28"/>
      <c r="F18" s="28"/>
      <c r="G18" s="28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5"/>
      <c r="B19" s="45"/>
      <c r="C19" s="45"/>
      <c r="D19" s="45"/>
      <c r="E19" s="45"/>
      <c r="F19" s="45"/>
      <c r="G19" s="45"/>
      <c r="H19" s="4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4"/>
      <c r="AB19" s="4"/>
    </row>
    <row r="20">
      <c r="A20" s="49" t="s">
        <v>28</v>
      </c>
      <c r="B20" s="36"/>
      <c r="C20" s="36"/>
      <c r="D20" s="55"/>
      <c r="E20" s="56">
        <v>0.6</v>
      </c>
      <c r="F20" s="58" t="str">
        <f>REPT("⭐",ROUND(E20*5,0)) &amp; REPT("☆",5-ROUND(E20*5,0))</f>
        <v>⭐⭐⭐☆☆</v>
      </c>
      <c r="G20" s="59"/>
      <c r="H20" s="6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61"/>
      <c r="D21" s="68"/>
      <c r="E21" s="69">
        <v>0.0</v>
      </c>
      <c r="F21" s="63" t="s">
        <v>32</v>
      </c>
      <c r="G21" s="64"/>
      <c r="H21" s="73" t="s">
        <v>46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66"/>
      <c r="D22" s="68"/>
      <c r="E22" s="69">
        <v>0.0</v>
      </c>
      <c r="F22" s="63" t="s">
        <v>34</v>
      </c>
      <c r="G22" s="64"/>
      <c r="H22" s="73" t="s">
        <v>42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66"/>
      <c r="D23" s="68"/>
      <c r="E23" s="69">
        <v>0.0</v>
      </c>
      <c r="F23" s="63" t="s">
        <v>38</v>
      </c>
      <c r="G23" s="64"/>
      <c r="H23" s="73" t="s">
        <v>40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66"/>
      <c r="D24" s="68"/>
      <c r="E24" s="76">
        <v>0.0</v>
      </c>
      <c r="F24" s="63" t="s">
        <v>41</v>
      </c>
      <c r="G24" s="64"/>
      <c r="H24" s="73" t="s">
        <v>43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66"/>
      <c r="D25" s="68"/>
      <c r="E25" s="76">
        <v>0.0</v>
      </c>
      <c r="F25" s="67" t="s">
        <v>36</v>
      </c>
      <c r="G25" s="64"/>
      <c r="H25" s="73" t="s">
        <v>46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79"/>
      <c r="B26" s="28"/>
      <c r="C26" s="28"/>
      <c r="D26" s="29"/>
      <c r="E26" s="76">
        <v>0.0</v>
      </c>
      <c r="F26" s="63" t="s">
        <v>37</v>
      </c>
      <c r="G26" s="64"/>
      <c r="H26" s="73" t="s">
        <v>43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5"/>
      <c r="B27" s="45"/>
      <c r="C27" s="45"/>
      <c r="D27" s="45"/>
      <c r="E27" s="74"/>
      <c r="F27" s="75"/>
      <c r="G27" s="75"/>
      <c r="H27" s="7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4"/>
      <c r="AB27" s="4"/>
    </row>
    <row r="28">
      <c r="A28" s="77" t="s">
        <v>44</v>
      </c>
      <c r="B28" s="36"/>
      <c r="C28" s="36"/>
      <c r="D28" s="55"/>
      <c r="E28" s="78">
        <v>0.7</v>
      </c>
      <c r="F28" s="57" t="str">
        <f>REPT("⭐",ROUND(E28*5,0)) &amp; REPT("☆",5-ROUND(E28*5,0))</f>
        <v>⭐⭐⭐⭐☆</v>
      </c>
      <c r="G28" s="36"/>
      <c r="H28" s="3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75.75" customHeight="1">
      <c r="A29" s="80"/>
      <c r="B29" s="81"/>
      <c r="C29" s="81"/>
      <c r="D29" s="81"/>
      <c r="E29" s="81"/>
      <c r="F29" s="81"/>
      <c r="G29" s="81"/>
      <c r="H29" s="82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5"/>
      <c r="B30" s="45"/>
      <c r="C30" s="45"/>
      <c r="D30" s="45"/>
      <c r="E30" s="46"/>
      <c r="F30" s="83"/>
      <c r="G30" s="83"/>
      <c r="H30" s="83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"/>
      <c r="AB30" s="4"/>
    </row>
    <row r="31">
      <c r="A31" s="77" t="s">
        <v>48</v>
      </c>
      <c r="B31" s="36"/>
      <c r="C31" s="36"/>
      <c r="D31" s="55"/>
      <c r="E31" s="78">
        <v>0.6</v>
      </c>
      <c r="F31" s="57" t="str">
        <f>REPT("⭐",ROUND(E31*5,0)) &amp; REPT("☆",5-ROUND(E31*5,0))</f>
        <v>⭐⭐⭐☆☆</v>
      </c>
      <c r="G31" s="36"/>
      <c r="H31" s="3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72.75" customHeight="1">
      <c r="A32" s="80"/>
      <c r="B32" s="81"/>
      <c r="C32" s="81"/>
      <c r="D32" s="81"/>
      <c r="E32" s="81"/>
      <c r="F32" s="81"/>
      <c r="G32" s="81"/>
      <c r="H32" s="8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5"/>
      <c r="B33" s="45"/>
      <c r="C33" s="45"/>
      <c r="D33" s="45"/>
      <c r="E33" s="46"/>
      <c r="F33" s="83"/>
      <c r="G33" s="83"/>
      <c r="H33" s="8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4"/>
      <c r="AB33" s="4"/>
    </row>
    <row r="34">
      <c r="A34" s="77" t="s">
        <v>50</v>
      </c>
      <c r="B34" s="36"/>
      <c r="C34" s="36"/>
      <c r="D34" s="55"/>
      <c r="E34" s="53">
        <v>0.9</v>
      </c>
      <c r="F34" s="57" t="str">
        <f>REPT("⭐",ROUND(E34*5,0)) &amp; REPT("☆",5-ROUND(E34*5,0))</f>
        <v>⭐⭐⭐⭐⭐</v>
      </c>
      <c r="G34" s="36"/>
      <c r="H34" s="3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54.75" customHeight="1">
      <c r="A35" s="80"/>
      <c r="B35" s="81"/>
      <c r="C35" s="81"/>
      <c r="D35" s="81"/>
      <c r="E35" s="81"/>
      <c r="F35" s="81"/>
      <c r="G35" s="81"/>
      <c r="H35" s="8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5"/>
      <c r="B36" s="45"/>
      <c r="C36" s="45"/>
      <c r="D36" s="45"/>
      <c r="E36" s="46"/>
      <c r="F36" s="83"/>
      <c r="G36" s="83"/>
      <c r="H36" s="83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4"/>
      <c r="AB36" s="4"/>
    </row>
    <row r="37">
      <c r="A37" s="45"/>
      <c r="B37" s="45"/>
      <c r="C37" s="45"/>
      <c r="D37" s="45"/>
      <c r="E37" s="46"/>
      <c r="F37" s="83"/>
      <c r="G37" s="83"/>
      <c r="H37" s="8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"/>
      <c r="AB37" s="4"/>
    </row>
    <row r="38">
      <c r="A38" s="84" t="s">
        <v>54</v>
      </c>
      <c r="B38" s="59"/>
      <c r="C38" s="59"/>
      <c r="D38" s="85"/>
      <c r="E38" s="86" t="s">
        <v>56</v>
      </c>
      <c r="F38" s="58" t="str">
        <f>REPT("⭐",ROUND(E38*5,0)) &amp; REPT("☆",5-ROUND(E38*5,0))</f>
        <v>⭐⭐⭐⭐⭐</v>
      </c>
      <c r="G38" s="59"/>
      <c r="H38" s="6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53.25" customHeight="1">
      <c r="A39" s="87"/>
      <c r="B39" s="81"/>
      <c r="C39" s="81"/>
      <c r="D39" s="81"/>
      <c r="E39" s="81"/>
      <c r="F39" s="81"/>
      <c r="G39" s="81"/>
      <c r="H39" s="8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88"/>
      <c r="B40" s="88"/>
      <c r="C40" s="88"/>
      <c r="D40" s="88"/>
      <c r="E40" s="74"/>
      <c r="F40" s="75"/>
      <c r="G40" s="75"/>
      <c r="H40" s="7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4"/>
      <c r="AB40" s="4"/>
    </row>
    <row r="41">
      <c r="A41" s="45"/>
      <c r="B41" s="45"/>
      <c r="C41" s="45"/>
      <c r="D41" s="45"/>
      <c r="E41" s="46"/>
      <c r="F41" s="83"/>
      <c r="G41" s="83"/>
      <c r="H41" s="83"/>
      <c r="I41" s="15"/>
      <c r="J41" s="15"/>
      <c r="K41" s="15"/>
      <c r="L41" s="15"/>
      <c r="M41" s="89"/>
      <c r="N41" s="90"/>
      <c r="O41" s="90"/>
      <c r="P41" s="90"/>
      <c r="Q41" s="15"/>
      <c r="R41" s="15"/>
      <c r="S41" s="15"/>
      <c r="T41" s="15"/>
      <c r="U41" s="89"/>
      <c r="V41" s="90"/>
      <c r="W41" s="90"/>
      <c r="X41" s="90"/>
      <c r="Y41" s="4"/>
      <c r="Z41" s="4"/>
      <c r="AA41" s="4"/>
      <c r="AB41" s="4"/>
    </row>
    <row r="42">
      <c r="A42" s="77" t="s">
        <v>60</v>
      </c>
      <c r="B42" s="36"/>
      <c r="C42" s="36"/>
      <c r="D42" s="55"/>
      <c r="E42" s="91">
        <v>1.0</v>
      </c>
      <c r="F42" s="57" t="str">
        <f>REPT("⭐",ROUND(E42*5,0)) &amp; REPT("☆",5-ROUND(E42*5,0))</f>
        <v>⭐⭐⭐⭐⭐</v>
      </c>
      <c r="G42" s="36"/>
      <c r="H42" s="3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11.0" customHeight="1">
      <c r="A43" s="80"/>
      <c r="B43" s="81"/>
      <c r="C43" s="81"/>
      <c r="D43" s="81"/>
      <c r="E43" s="81"/>
      <c r="F43" s="81"/>
      <c r="G43" s="81"/>
      <c r="H43" s="82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5"/>
      <c r="B44" s="45"/>
      <c r="C44" s="45"/>
      <c r="D44" s="45"/>
      <c r="E44" s="83"/>
      <c r="F44" s="83"/>
      <c r="G44" s="83"/>
      <c r="H44" s="83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4"/>
      <c r="AB44" s="4"/>
    </row>
    <row r="45">
      <c r="A45" s="45"/>
      <c r="B45" s="45"/>
      <c r="C45" s="45"/>
      <c r="D45" s="45"/>
      <c r="E45" s="45"/>
      <c r="F45" s="45"/>
      <c r="G45" s="45"/>
      <c r="H45" s="4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4"/>
      <c r="AB45" s="4"/>
    </row>
    <row r="46">
      <c r="A46" s="92" t="s">
        <v>62</v>
      </c>
      <c r="B46" s="2"/>
      <c r="C46" s="2"/>
      <c r="D46" s="2"/>
      <c r="E46" s="2"/>
      <c r="F46" s="2"/>
      <c r="G46" s="2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77" t="s">
        <v>63</v>
      </c>
      <c r="B47" s="36"/>
      <c r="C47" s="36"/>
      <c r="D47" s="55"/>
      <c r="E47" s="53"/>
      <c r="F47" s="57" t="str">
        <f>REPT("⭐",ROUND(E47*5,0)) &amp; REPT("☆",5-ROUND(E47*5,0))</f>
        <v>☆☆☆☆☆</v>
      </c>
      <c r="G47" s="36"/>
      <c r="H47" s="3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61.5" customHeight="1">
      <c r="A48" s="80"/>
      <c r="B48" s="81"/>
      <c r="C48" s="81"/>
      <c r="D48" s="81"/>
      <c r="E48" s="81"/>
      <c r="F48" s="81"/>
      <c r="G48" s="81"/>
      <c r="H48" s="82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77" t="s">
        <v>66</v>
      </c>
      <c r="B49" s="36"/>
      <c r="C49" s="36"/>
      <c r="D49" s="55"/>
      <c r="E49" s="53"/>
      <c r="F49" s="57" t="str">
        <f>REPT("⭐",ROUND(E49*5,0)) &amp; REPT("☆",5-ROUND(E49*5,0))</f>
        <v>☆☆☆☆☆</v>
      </c>
      <c r="G49" s="36"/>
      <c r="H49" s="3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5.25" customHeight="1">
      <c r="A50" s="87" t="s">
        <v>65</v>
      </c>
      <c r="B50" s="81"/>
      <c r="C50" s="81"/>
      <c r="D50" s="81"/>
      <c r="E50" s="81"/>
      <c r="F50" s="81"/>
      <c r="G50" s="81"/>
      <c r="H50" s="82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5"/>
      <c r="B51" s="45"/>
      <c r="C51" s="45"/>
      <c r="D51" s="45"/>
      <c r="E51" s="45"/>
      <c r="F51" s="45"/>
      <c r="G51" s="45"/>
      <c r="H51" s="4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4"/>
      <c r="AB51" s="4"/>
    </row>
    <row r="52">
      <c r="A52" s="92" t="s">
        <v>68</v>
      </c>
      <c r="B52" s="2"/>
      <c r="C52" s="2"/>
      <c r="D52" s="2"/>
      <c r="E52" s="2"/>
      <c r="F52" s="3"/>
      <c r="G52" s="93">
        <v>46204.0</v>
      </c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94" t="s">
        <v>70</v>
      </c>
      <c r="B53" s="95">
        <v>45.0</v>
      </c>
      <c r="C53" s="96"/>
      <c r="D53" s="94" t="s">
        <v>71</v>
      </c>
      <c r="E53" s="95">
        <f>SUM(E54:E55)</f>
        <v>0</v>
      </c>
      <c r="F53" s="96"/>
      <c r="G53" s="95" t="s">
        <v>72</v>
      </c>
      <c r="H53" s="97">
        <f t="shared" ref="H53:H55" si="1">E53/B53</f>
        <v>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98" t="s">
        <v>73</v>
      </c>
      <c r="B54" s="99">
        <v>40.0</v>
      </c>
      <c r="C54" s="100"/>
      <c r="D54" s="101" t="s">
        <v>74</v>
      </c>
      <c r="E54" s="102">
        <v>0.0</v>
      </c>
      <c r="F54" s="100"/>
      <c r="G54" s="99" t="s">
        <v>72</v>
      </c>
      <c r="H54" s="103">
        <f t="shared" si="1"/>
        <v>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94" t="s">
        <v>75</v>
      </c>
      <c r="B55" s="95">
        <v>5.0</v>
      </c>
      <c r="C55" s="96"/>
      <c r="D55" s="104" t="s">
        <v>76</v>
      </c>
      <c r="E55" s="105">
        <v>0.0</v>
      </c>
      <c r="F55" s="96"/>
      <c r="G55" s="95" t="s">
        <v>72</v>
      </c>
      <c r="H55" s="97">
        <f t="shared" si="1"/>
        <v>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92" t="s">
        <v>77</v>
      </c>
      <c r="B56" s="2"/>
      <c r="C56" s="2"/>
      <c r="D56" s="2"/>
      <c r="E56" s="2"/>
      <c r="F56" s="3"/>
      <c r="G56" s="93">
        <v>46203.0</v>
      </c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106" t="s">
        <v>78</v>
      </c>
      <c r="G57" s="106" t="s">
        <v>79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107" t="s">
        <v>70</v>
      </c>
      <c r="B58" s="108">
        <f>B59+B60</f>
        <v>12000</v>
      </c>
      <c r="C58" s="109"/>
      <c r="D58" s="107" t="s">
        <v>71</v>
      </c>
      <c r="E58" s="108">
        <f>SUM(E59:E60)</f>
        <v>0</v>
      </c>
      <c r="F58" s="109"/>
      <c r="G58" s="108" t="s">
        <v>72</v>
      </c>
      <c r="H58" s="110">
        <f t="shared" ref="H58:H60" si="2">E58/B58</f>
        <v>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111" t="s">
        <v>73</v>
      </c>
      <c r="B59" s="112">
        <v>5000.0</v>
      </c>
      <c r="C59" s="113"/>
      <c r="D59" s="111" t="s">
        <v>80</v>
      </c>
      <c r="E59" s="112"/>
      <c r="F59" s="113"/>
      <c r="G59" s="112" t="s">
        <v>72</v>
      </c>
      <c r="H59" s="114">
        <f t="shared" si="2"/>
        <v>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111" t="s">
        <v>75</v>
      </c>
      <c r="B60" s="112">
        <v>7000.0</v>
      </c>
      <c r="C60" s="113"/>
      <c r="D60" s="111" t="s">
        <v>81</v>
      </c>
      <c r="E60" s="112"/>
      <c r="F60" s="113"/>
      <c r="G60" s="112" t="s">
        <v>72</v>
      </c>
      <c r="H60" s="114">
        <f t="shared" si="2"/>
        <v>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92" t="s">
        <v>82</v>
      </c>
      <c r="B61" s="2"/>
      <c r="C61" s="2"/>
      <c r="D61" s="2"/>
      <c r="E61" s="2"/>
      <c r="F61" s="3"/>
      <c r="G61" s="93">
        <v>46203.0</v>
      </c>
      <c r="H61" s="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12" t="s">
        <v>70</v>
      </c>
      <c r="D62" s="115"/>
      <c r="G62" s="12" t="s">
        <v>83</v>
      </c>
      <c r="H62" s="116" t="str">
        <f>E58/D62</f>
        <v>#DIV/0!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117" t="str">
        <f>IF(H62&lt;=70%,"خسائر",IF(H62&lt;=80%,"مقبول",IF(H62&lt;=100%,"مكسب","فوق المتوقع")))</f>
        <v>#DIV/0!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92" t="s">
        <v>84</v>
      </c>
      <c r="B64" s="2"/>
      <c r="C64" s="2"/>
      <c r="D64" s="3"/>
      <c r="E64" s="92" t="s">
        <v>85</v>
      </c>
      <c r="F64" s="2"/>
      <c r="G64" s="2"/>
      <c r="H64" s="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106" t="s">
        <v>70</v>
      </c>
      <c r="D65" s="115">
        <v>2460.0</v>
      </c>
      <c r="G65" s="5"/>
      <c r="H65" s="11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117" t="str">
        <f>IF(E58&lt;D65,"سالب",IF(E58&gt;D65,"موجب",IF(E58=D65,"نقطة امان","يوجد خطأ")))</f>
        <v>سالب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92" t="s">
        <v>86</v>
      </c>
      <c r="B67" s="2"/>
      <c r="C67" s="2"/>
      <c r="D67" s="3"/>
      <c r="E67" s="92" t="s">
        <v>87</v>
      </c>
      <c r="F67" s="2"/>
      <c r="G67" s="2"/>
      <c r="H67" s="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117" t="str">
        <f>IF(E58&gt;=2460,"high", "low")</f>
        <v>low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119"/>
      <c r="E69" s="11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120"/>
      <c r="B70" s="121"/>
      <c r="C70" s="122"/>
      <c r="D70" s="15"/>
      <c r="E70" s="123"/>
      <c r="F70" s="3"/>
      <c r="G70" s="122"/>
      <c r="H70" s="8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120"/>
      <c r="B71" s="121"/>
      <c r="C71" s="122"/>
      <c r="D71" s="15"/>
      <c r="E71" s="123"/>
      <c r="F71" s="3"/>
      <c r="G71" s="122"/>
      <c r="H71" s="8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120"/>
      <c r="B72" s="121"/>
      <c r="C72" s="122"/>
      <c r="D72" s="15"/>
      <c r="E72" s="123"/>
      <c r="F72" s="3"/>
      <c r="G72" s="122"/>
      <c r="H72" s="8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120"/>
      <c r="B73" s="121"/>
      <c r="C73" s="122"/>
      <c r="D73" s="15"/>
      <c r="E73" s="123"/>
      <c r="F73" s="3"/>
      <c r="G73" s="122"/>
      <c r="H73" s="8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15"/>
      <c r="B74" s="15"/>
      <c r="C74" s="90"/>
      <c r="D74" s="15"/>
      <c r="E74" s="123"/>
      <c r="F74" s="3"/>
      <c r="G74" s="122"/>
      <c r="H74" s="8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124"/>
      <c r="B76" s="2"/>
      <c r="C76" s="2"/>
      <c r="D76" s="2"/>
      <c r="E76" s="2"/>
      <c r="F76" s="3"/>
      <c r="G76" s="124"/>
      <c r="H76" s="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11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25"/>
      <c r="C78" s="4"/>
      <c r="D78" s="4"/>
      <c r="E78" s="4"/>
      <c r="F78" s="4"/>
      <c r="G78" s="12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125"/>
      <c r="E79" s="12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15"/>
      <c r="B80" s="15"/>
      <c r="C80" s="15"/>
      <c r="D80" s="15"/>
      <c r="E80" s="15"/>
      <c r="F80" s="15"/>
      <c r="G80" s="15"/>
      <c r="H80" s="15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125"/>
      <c r="D81" s="126"/>
      <c r="E81" s="37"/>
      <c r="F81" s="12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15"/>
      <c r="B82" s="15"/>
      <c r="C82" s="15"/>
      <c r="D82" s="15"/>
      <c r="E82" s="15"/>
      <c r="F82" s="15"/>
      <c r="G82" s="15"/>
      <c r="H82" s="15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125"/>
      <c r="D83" s="4"/>
      <c r="E83" s="12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125"/>
      <c r="E84" s="12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12"/>
      <c r="E85" s="12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12"/>
      <c r="E86" s="12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12"/>
      <c r="E87" s="12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2"/>
      <c r="E88" s="12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/>
      <c r="B89" s="5"/>
      <c r="C89" s="5"/>
      <c r="D89" s="5"/>
      <c r="E89" s="5"/>
      <c r="F89" s="5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/>
      <c r="B91" s="5"/>
      <c r="C91" s="5"/>
      <c r="D91" s="5"/>
      <c r="E91" s="5"/>
      <c r="F91" s="5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/>
      <c r="B92" s="5"/>
      <c r="C92" s="5"/>
      <c r="D92" s="5"/>
      <c r="E92" s="5"/>
      <c r="F92" s="5"/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/>
      <c r="B93" s="5"/>
      <c r="C93" s="5"/>
      <c r="D93" s="5"/>
      <c r="E93" s="5"/>
      <c r="F93" s="5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/>
      <c r="B94" s="5"/>
      <c r="C94" s="5"/>
      <c r="D94" s="5"/>
      <c r="E94" s="5"/>
      <c r="F94" s="5"/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/>
      <c r="B95" s="5"/>
      <c r="C95" s="5"/>
      <c r="D95" s="5"/>
      <c r="E95" s="5"/>
      <c r="F95" s="5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/>
      <c r="B96" s="5"/>
      <c r="C96" s="5"/>
      <c r="D96" s="5"/>
      <c r="E96" s="5"/>
      <c r="F96" s="5"/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/>
      <c r="B97" s="5"/>
      <c r="C97" s="5"/>
      <c r="D97" s="5"/>
      <c r="E97" s="5"/>
      <c r="F97" s="5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/>
      <c r="B98" s="5"/>
      <c r="C98" s="5"/>
      <c r="D98" s="5"/>
      <c r="E98" s="5"/>
      <c r="F98" s="5"/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/>
      <c r="B99" s="5"/>
      <c r="C99" s="5"/>
      <c r="D99" s="5"/>
      <c r="E99" s="5"/>
      <c r="F99" s="5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5"/>
      <c r="B1004" s="5"/>
      <c r="C1004" s="5"/>
      <c r="D1004" s="5"/>
      <c r="E1004" s="5"/>
      <c r="F1004" s="5"/>
      <c r="G1004" s="5"/>
      <c r="H1004" s="5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</sheetData>
  <mergeCells count="107">
    <mergeCell ref="F5:G5"/>
    <mergeCell ref="F6:G6"/>
    <mergeCell ref="A1:H1"/>
    <mergeCell ref="A3:H3"/>
    <mergeCell ref="A4:C4"/>
    <mergeCell ref="F4:H4"/>
    <mergeCell ref="A5:A6"/>
    <mergeCell ref="B5:C5"/>
    <mergeCell ref="B6:C6"/>
    <mergeCell ref="A7:H7"/>
    <mergeCell ref="A8:H8"/>
    <mergeCell ref="A9:D9"/>
    <mergeCell ref="E9:H9"/>
    <mergeCell ref="A10:D10"/>
    <mergeCell ref="E10:H10"/>
    <mergeCell ref="E11:H11"/>
    <mergeCell ref="A11:D11"/>
    <mergeCell ref="A12:D12"/>
    <mergeCell ref="A13:D13"/>
    <mergeCell ref="A14:D14"/>
    <mergeCell ref="A15:B15"/>
    <mergeCell ref="C15:D15"/>
    <mergeCell ref="A17:C17"/>
    <mergeCell ref="F20:H20"/>
    <mergeCell ref="F21:G21"/>
    <mergeCell ref="F22:G22"/>
    <mergeCell ref="F23:G23"/>
    <mergeCell ref="F24:G24"/>
    <mergeCell ref="F25:G25"/>
    <mergeCell ref="F26:G26"/>
    <mergeCell ref="F28:H28"/>
    <mergeCell ref="E12:H12"/>
    <mergeCell ref="E13:H13"/>
    <mergeCell ref="E14:H14"/>
    <mergeCell ref="E15:F15"/>
    <mergeCell ref="G15:H15"/>
    <mergeCell ref="F17:H17"/>
    <mergeCell ref="A18:H18"/>
    <mergeCell ref="A20:C20"/>
    <mergeCell ref="A21:D26"/>
    <mergeCell ref="A28:C28"/>
    <mergeCell ref="A29:H29"/>
    <mergeCell ref="A31:C31"/>
    <mergeCell ref="F31:H31"/>
    <mergeCell ref="A32:H32"/>
    <mergeCell ref="A76:F76"/>
    <mergeCell ref="G76:H76"/>
    <mergeCell ref="E77:H77"/>
    <mergeCell ref="A79:D79"/>
    <mergeCell ref="E79:H79"/>
    <mergeCell ref="D81:E81"/>
    <mergeCell ref="F81:H81"/>
    <mergeCell ref="A81:C81"/>
    <mergeCell ref="A83:C83"/>
    <mergeCell ref="E83:H83"/>
    <mergeCell ref="A84:D84"/>
    <mergeCell ref="E84:H84"/>
    <mergeCell ref="A85:D85"/>
    <mergeCell ref="E85:H85"/>
    <mergeCell ref="A34:C34"/>
    <mergeCell ref="F34:H34"/>
    <mergeCell ref="A35:H35"/>
    <mergeCell ref="A38:C38"/>
    <mergeCell ref="F38:H38"/>
    <mergeCell ref="A39:H39"/>
    <mergeCell ref="A42:C42"/>
    <mergeCell ref="F42:H42"/>
    <mergeCell ref="A43:H43"/>
    <mergeCell ref="A46:H46"/>
    <mergeCell ref="A47:C47"/>
    <mergeCell ref="F47:H47"/>
    <mergeCell ref="A48:H48"/>
    <mergeCell ref="A49:C49"/>
    <mergeCell ref="F49:H49"/>
    <mergeCell ref="A50:H50"/>
    <mergeCell ref="A52:F52"/>
    <mergeCell ref="G52:H52"/>
    <mergeCell ref="A56:F56"/>
    <mergeCell ref="G56:H56"/>
    <mergeCell ref="G57:H57"/>
    <mergeCell ref="A57:F57"/>
    <mergeCell ref="A61:F61"/>
    <mergeCell ref="G61:H61"/>
    <mergeCell ref="A62:C62"/>
    <mergeCell ref="D62:F62"/>
    <mergeCell ref="A63:H63"/>
    <mergeCell ref="E64:H64"/>
    <mergeCell ref="A64:D64"/>
    <mergeCell ref="A65:C65"/>
    <mergeCell ref="D65:F65"/>
    <mergeCell ref="A66:H66"/>
    <mergeCell ref="A67:D67"/>
    <mergeCell ref="E67:H67"/>
    <mergeCell ref="A68:H68"/>
    <mergeCell ref="A69:D69"/>
    <mergeCell ref="E69:H69"/>
    <mergeCell ref="E70:F70"/>
    <mergeCell ref="E71:F71"/>
    <mergeCell ref="E72:F72"/>
    <mergeCell ref="E73:F73"/>
    <mergeCell ref="E74:F74"/>
    <mergeCell ref="A86:D86"/>
    <mergeCell ref="E86:H86"/>
    <mergeCell ref="A87:D87"/>
    <mergeCell ref="E87:H87"/>
    <mergeCell ref="A88:D88"/>
    <mergeCell ref="E88:H8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