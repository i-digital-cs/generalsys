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ged\Desktop\"/>
    </mc:Choice>
  </mc:AlternateContent>
  <xr:revisionPtr revIDLastSave="0" documentId="13_ncr:1_{4ACDD331-9FB1-48C0-840C-9AA34D64783F}" xr6:coauthVersionLast="47" xr6:coauthVersionMax="47" xr10:uidLastSave="{00000000-0000-0000-0000-000000000000}"/>
  <bookViews>
    <workbookView xWindow="57480" yWindow="-120" windowWidth="29040" windowHeight="15720" tabRatio="773" xr2:uid="{00000000-000D-0000-FFFF-FFFF00000000}"/>
  </bookViews>
  <sheets>
    <sheet name="مني" sheetId="10" r:id="rId1"/>
  </sheets>
  <externalReferences>
    <externalReference r:id="rId2"/>
  </externalReferences>
  <calcPr calcId="181029"/>
  <extLst>
    <ext uri="GoogleSheetsCustomDataVersion2">
      <go:sheetsCustomData xmlns:go="http://customooxmlschemas.google.com/" r:id="rId23" roundtripDataChecksum="0p/DMM0gFmr7L9Z28M+VaPCcJQXhPV8a1s4z/Kvh5vw="/>
    </ext>
  </extLst>
</workbook>
</file>

<file path=xl/calcChain.xml><?xml version="1.0" encoding="utf-8"?>
<calcChain xmlns="http://schemas.openxmlformats.org/spreadsheetml/2006/main">
  <c r="A42" i="10" l="1"/>
  <c r="E39" i="10"/>
  <c r="H39" i="10"/>
  <c r="G39" i="10"/>
  <c r="D41" i="10" l="1"/>
  <c r="J41" i="10" s="1"/>
  <c r="D40" i="10"/>
  <c r="J40" i="10" s="1"/>
  <c r="D39" i="10"/>
  <c r="J39" i="10" s="1"/>
  <c r="L33" i="10"/>
  <c r="J42" i="10" l="1"/>
  <c r="J50" i="10" s="1"/>
</calcChain>
</file>

<file path=xl/sharedStrings.xml><?xml version="1.0" encoding="utf-8"?>
<sst xmlns="http://schemas.openxmlformats.org/spreadsheetml/2006/main" count="80" uniqueCount="68">
  <si>
    <t>Full time</t>
  </si>
  <si>
    <t>اساسي</t>
  </si>
  <si>
    <t>يوم راحة</t>
  </si>
  <si>
    <t>فعلي</t>
  </si>
  <si>
    <t>إجازة</t>
  </si>
  <si>
    <t>مستوى الأداء</t>
  </si>
  <si>
    <t>خصم</t>
  </si>
  <si>
    <t>لا يوجد خصم ساعات</t>
  </si>
  <si>
    <t>إجازة رسمية</t>
  </si>
  <si>
    <t>السلوك</t>
  </si>
  <si>
    <t>Online</t>
  </si>
  <si>
    <t>غياب بإذن</t>
  </si>
  <si>
    <t>مستوى الانتاج</t>
  </si>
  <si>
    <t>غياب بدون إذن</t>
  </si>
  <si>
    <t>الحضور</t>
  </si>
  <si>
    <t>عدد الايام</t>
  </si>
  <si>
    <t>التقييم الكلي</t>
  </si>
  <si>
    <t>Hr</t>
  </si>
  <si>
    <t>Team Leader</t>
  </si>
  <si>
    <t>General Manger</t>
  </si>
  <si>
    <t>التقرير السنوي</t>
  </si>
  <si>
    <t>بداية التعاقد</t>
  </si>
  <si>
    <t>نهاية التعاقد</t>
  </si>
  <si>
    <t>نوع العقد</t>
  </si>
  <si>
    <t>شهر</t>
  </si>
  <si>
    <t>رصيد الاجازات</t>
  </si>
  <si>
    <t>الجزاءات</t>
  </si>
  <si>
    <t>المكافئات</t>
  </si>
  <si>
    <t>الخصومات</t>
  </si>
  <si>
    <t>الترقية</t>
  </si>
  <si>
    <t>التقييم الشهري</t>
  </si>
  <si>
    <t>سنه</t>
  </si>
  <si>
    <t>2025</t>
  </si>
  <si>
    <t>Total</t>
  </si>
  <si>
    <t>العمولات</t>
  </si>
  <si>
    <t>الارباح</t>
  </si>
  <si>
    <t>بيان</t>
  </si>
  <si>
    <t>ملاحظات</t>
  </si>
  <si>
    <t>صافي المرتب والعمولات والارباح</t>
  </si>
  <si>
    <t>قرارات ceo</t>
  </si>
  <si>
    <t>الراتب الاساسي</t>
  </si>
  <si>
    <t>عدد ايام العمل</t>
  </si>
  <si>
    <t>راتب الشهر</t>
  </si>
  <si>
    <t>إضافي</t>
  </si>
  <si>
    <t>مكافئات</t>
  </si>
  <si>
    <t>خصم ساعات</t>
  </si>
  <si>
    <t>صافي الراتب</t>
  </si>
  <si>
    <t>اونلاين بنصف يوم</t>
  </si>
  <si>
    <t>اونلاين بيوم</t>
  </si>
  <si>
    <t>سلفة</t>
  </si>
  <si>
    <t>سوشيال ميديا</t>
  </si>
  <si>
    <t>عمولة القسم</t>
  </si>
  <si>
    <t>عمولة مبيعات</t>
  </si>
  <si>
    <t>عمولة ارباح</t>
  </si>
  <si>
    <t>سليم</t>
  </si>
  <si>
    <t>ا. مني احمد حسين خليفة</t>
  </si>
  <si>
    <r>
      <rPr>
        <b/>
        <sz val="18"/>
        <color rgb="FFFF0000"/>
        <rFont val="Arial"/>
      </rPr>
      <t xml:space="preserve">تم اخذ إذن ساعه بتاريخ 7-6-2026 
تأخيرات علي مدر الشهر  27 دقيقة
</t>
    </r>
    <r>
      <rPr>
        <b/>
        <sz val="18"/>
        <color rgb="FF34A853"/>
        <rFont val="Arial"/>
      </rPr>
      <t xml:space="preserve">تم العمل في يوم اجازه رسمية بتاريخ 18-6-2026 </t>
    </r>
  </si>
  <si>
    <t>08-10-2025</t>
  </si>
  <si>
    <t>08-10-2026</t>
  </si>
  <si>
    <t xml:space="preserve">2 يوم غياب </t>
  </si>
  <si>
    <t>يوم</t>
  </si>
  <si>
    <t xml:space="preserve">47 دقيقة </t>
  </si>
  <si>
    <t xml:space="preserve">ساعة و 16 دقيقة </t>
  </si>
  <si>
    <t>تقرير شهر مايو 2026</t>
  </si>
  <si>
    <t>الراتب / عدد ساعات الشهر * عدد ساعات التأخير</t>
  </si>
  <si>
    <t>الراتب / عدد ساعات الشهر / 2 * عدد ساعات التأخير</t>
  </si>
  <si>
    <t>رقم يكتب</t>
  </si>
  <si>
    <t>قيمه مبلغ تكتب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</si>
</sst>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yy"/>
  </numFmts>
  <fonts count="22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b/>
      <sz val="20"/>
      <color theme="1"/>
      <name val="Arial"/>
    </font>
    <font>
      <sz val="10"/>
      <name val="Arial"/>
    </font>
    <font>
      <b/>
      <sz val="14"/>
      <color theme="1"/>
      <name val="Arial"/>
    </font>
    <font>
      <sz val="11"/>
      <color rgb="FF000000"/>
      <name val="Arial"/>
    </font>
    <font>
      <b/>
      <sz val="12"/>
      <color rgb="FFFFFFFF"/>
      <name val="Arial"/>
    </font>
    <font>
      <b/>
      <u/>
      <sz val="9"/>
      <color rgb="FF000000"/>
      <name val="Arial"/>
    </font>
    <font>
      <b/>
      <sz val="9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8"/>
      <color theme="1"/>
      <name val="Arial"/>
    </font>
    <font>
      <b/>
      <i/>
      <sz val="16"/>
      <color theme="1"/>
      <name val="Arial"/>
    </font>
    <font>
      <sz val="9"/>
      <color theme="1"/>
      <name val="Arial"/>
    </font>
    <font>
      <b/>
      <sz val="16"/>
      <color rgb="FFFF0000"/>
      <name val="Arial"/>
    </font>
    <font>
      <sz val="10"/>
      <color theme="1"/>
      <name val="Arial"/>
    </font>
    <font>
      <b/>
      <sz val="18"/>
      <color rgb="FFFF0000"/>
      <name val="Arial"/>
    </font>
    <font>
      <b/>
      <sz val="18"/>
      <color rgb="FF34A853"/>
      <name val="Arial"/>
    </font>
  </fonts>
  <fills count="10">
    <fill>
      <patternFill patternType="none"/>
    </fill>
    <fill>
      <patternFill patternType="gray125"/>
    </fill>
    <fill>
      <patternFill patternType="solid">
        <fgColor rgb="FF8DB5F8"/>
        <bgColor rgb="FF8DB5F8"/>
      </patternFill>
    </fill>
    <fill>
      <patternFill patternType="solid">
        <fgColor rgb="FFD9E6FC"/>
        <bgColor rgb="FFD9E6FC"/>
      </patternFill>
    </fill>
    <fill>
      <patternFill patternType="solid">
        <fgColor rgb="FF92D050"/>
        <bgColor rgb="FF92D050"/>
      </patternFill>
    </fill>
    <fill>
      <patternFill patternType="solid">
        <fgColor rgb="FF63C384"/>
        <bgColor rgb="FF63C384"/>
      </patternFill>
    </fill>
    <fill>
      <patternFill patternType="solid">
        <fgColor rgb="FFFAD9D6"/>
        <bgColor rgb="FFFAD9D6"/>
      </patternFill>
    </fill>
    <fill>
      <patternFill patternType="solid">
        <fgColor rgb="FFFFFF00"/>
        <bgColor rgb="FFFFFF00"/>
      </patternFill>
    </fill>
    <fill>
      <patternFill patternType="solid">
        <fgColor rgb="FFA6E3B6"/>
        <bgColor rgb="FFA6E3B6"/>
      </patternFill>
    </fill>
    <fill>
      <patternFill patternType="solid">
        <fgColor rgb="FFF6B3AE"/>
        <bgColor rgb="FFF6B3AE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2" fontId="2" fillId="0" borderId="0" xfId="0" applyNumberFormat="1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2" borderId="1" xfId="0" applyFont="1" applyFill="1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10" fontId="1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readingOrder="2"/>
    </xf>
    <xf numFmtId="14" fontId="14" fillId="0" borderId="0" xfId="0" applyNumberFormat="1" applyFont="1" applyAlignment="1">
      <alignment vertical="center"/>
    </xf>
    <xf numFmtId="17" fontId="4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readingOrder="2"/>
    </xf>
    <xf numFmtId="14" fontId="11" fillId="0" borderId="0" xfId="0" applyNumberFormat="1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right" vertical="center" wrapText="1" readingOrder="2"/>
    </xf>
    <xf numFmtId="0" fontId="16" fillId="0" borderId="0" xfId="0" applyFont="1" applyAlignment="1">
      <alignment horizontal="right" vertical="center" wrapText="1" readingOrder="2"/>
    </xf>
    <xf numFmtId="0" fontId="1" fillId="0" borderId="0" xfId="0" applyFont="1"/>
    <xf numFmtId="4" fontId="11" fillId="0" borderId="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 readingOrder="2"/>
    </xf>
    <xf numFmtId="0" fontId="7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6" fontId="1" fillId="0" borderId="6" xfId="0" applyNumberFormat="1" applyFont="1" applyBorder="1" applyAlignment="1">
      <alignment horizontal="center"/>
    </xf>
    <xf numFmtId="0" fontId="8" fillId="0" borderId="0" xfId="0" applyFont="1"/>
    <xf numFmtId="1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10" fontId="3" fillId="0" borderId="6" xfId="0" applyNumberFormat="1" applyFont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46" fontId="1" fillId="4" borderId="6" xfId="0" applyNumberFormat="1" applyFont="1" applyFill="1" applyBorder="1" applyAlignment="1">
      <alignment horizontal="center"/>
    </xf>
    <xf numFmtId="1" fontId="3" fillId="4" borderId="6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10" fontId="9" fillId="5" borderId="6" xfId="0" applyNumberFormat="1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 readingOrder="2"/>
    </xf>
    <xf numFmtId="0" fontId="11" fillId="6" borderId="6" xfId="0" applyFont="1" applyFill="1" applyBorder="1" applyAlignment="1">
      <alignment horizontal="center" vertical="center" wrapText="1" readingOrder="2"/>
    </xf>
    <xf numFmtId="0" fontId="11" fillId="6" borderId="6" xfId="0" applyFont="1" applyFill="1" applyBorder="1" applyAlignment="1">
      <alignment horizontal="center" vertical="center"/>
    </xf>
    <xf numFmtId="1" fontId="11" fillId="3" borderId="6" xfId="0" applyNumberFormat="1" applyFont="1" applyFill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2" fontId="11" fillId="6" borderId="6" xfId="0" applyNumberFormat="1" applyFont="1" applyFill="1" applyBorder="1" applyAlignment="1">
      <alignment horizontal="center" vertical="center"/>
    </xf>
    <xf numFmtId="21" fontId="1" fillId="4" borderId="6" xfId="0" applyNumberFormat="1" applyFont="1" applyFill="1" applyBorder="1" applyAlignment="1">
      <alignment horizontal="center"/>
    </xf>
    <xf numFmtId="0" fontId="19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1" fillId="3" borderId="6" xfId="0" applyNumberFormat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5" fillId="4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5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6" fillId="0" borderId="10" xfId="0" applyFont="1" applyBorder="1"/>
    <xf numFmtId="0" fontId="12" fillId="0" borderId="9" xfId="0" applyFont="1" applyBorder="1" applyAlignment="1">
      <alignment horizontal="center" vertical="center" wrapText="1" readingOrder="2"/>
    </xf>
    <xf numFmtId="0" fontId="6" fillId="0" borderId="11" xfId="0" applyFont="1" applyBorder="1"/>
    <xf numFmtId="0" fontId="15" fillId="2" borderId="2" xfId="0" applyFont="1" applyFill="1" applyBorder="1" applyAlignment="1">
      <alignment horizontal="center" vertical="center"/>
    </xf>
    <xf numFmtId="4" fontId="11" fillId="0" borderId="5" xfId="0" applyNumberFormat="1" applyFont="1" applyBorder="1" applyAlignment="1">
      <alignment horizontal="center" vertical="center"/>
    </xf>
    <xf numFmtId="0" fontId="6" fillId="0" borderId="7" xfId="0" applyFont="1" applyBorder="1"/>
    <xf numFmtId="0" fontId="11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 wrapText="1" readingOrder="2"/>
    </xf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11" fillId="0" borderId="9" xfId="0" applyFont="1" applyBorder="1" applyAlignment="1">
      <alignment horizontal="center" vertical="center"/>
    </xf>
    <xf numFmtId="4" fontId="11" fillId="3" borderId="5" xfId="0" applyNumberFormat="1" applyFont="1" applyFill="1" applyBorder="1" applyAlignment="1">
      <alignment horizontal="center" vertical="center"/>
    </xf>
    <xf numFmtId="0" fontId="6" fillId="0" borderId="20" xfId="0" applyFont="1" applyBorder="1"/>
    <xf numFmtId="0" fontId="20" fillId="0" borderId="9" xfId="0" applyFont="1" applyBorder="1" applyAlignment="1">
      <alignment horizontal="center" vertical="center" wrapText="1" readingOrder="2"/>
    </xf>
    <xf numFmtId="0" fontId="11" fillId="8" borderId="23" xfId="0" applyFont="1" applyFill="1" applyBorder="1" applyAlignment="1">
      <alignment horizontal="center" vertical="center"/>
    </xf>
    <xf numFmtId="0" fontId="6" fillId="0" borderId="24" xfId="0" applyFont="1" applyBorder="1"/>
    <xf numFmtId="0" fontId="6" fillId="0" borderId="25" xfId="0" applyFont="1" applyBorder="1"/>
    <xf numFmtId="2" fontId="4" fillId="0" borderId="0" xfId="0" applyNumberFormat="1" applyFont="1"/>
    <xf numFmtId="2" fontId="8" fillId="0" borderId="0" xfId="0" applyNumberFormat="1" applyFont="1"/>
    <xf numFmtId="0" fontId="1" fillId="0" borderId="0" xfId="0" applyFont="1" applyAlignment="1">
      <alignment wrapText="1"/>
    </xf>
    <xf numFmtId="2" fontId="11" fillId="6" borderId="6" xfId="0" applyNumberFormat="1" applyFont="1" applyFill="1" applyBorder="1" applyAlignment="1">
      <alignment horizontal="center" vertical="center" wrapText="1"/>
    </xf>
    <xf numFmtId="3" fontId="11" fillId="8" borderId="21" xfId="0" applyNumberFormat="1" applyFont="1" applyFill="1" applyBorder="1" applyAlignment="1">
      <alignment horizontal="center" vertical="center"/>
    </xf>
    <xf numFmtId="0" fontId="6" fillId="0" borderId="22" xfId="0" applyFont="1" applyBorder="1"/>
    <xf numFmtId="0" fontId="11" fillId="8" borderId="21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3" fontId="11" fillId="9" borderId="21" xfId="0" applyNumberFormat="1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3" fontId="11" fillId="7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24" Type="http://schemas.openxmlformats.org/officeDocument/2006/relationships/theme" Target="theme/theme1.xml"/><Relationship Id="rId23" Type="http://customschemas.google.com/relationships/workbookmetadata" Target="metadata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~General\3%20-%20HR\&#1605;&#1585;&#1578;&#1576;&#1575;&#1578;\2026\&#1588;&#1607;&#1585;%207\&#1578;&#1602;&#1575;&#1585;&#1610;&#1585;%20&#1588;&#1607;&#1585;%2007-2026.xlsx" TargetMode="External"/><Relationship Id="rId1" Type="http://schemas.openxmlformats.org/officeDocument/2006/relationships/externalLinkPath" Target="file:///G:\My%20Drive\~General\3%20-%20HR\&#1605;&#1585;&#1578;&#1576;&#1575;&#1578;\2026\&#1588;&#1607;&#1585;%207\&#1578;&#1602;&#1575;&#1585;&#1610;&#1585;%20&#1588;&#1607;&#1585;%20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تارجت روان"/>
      <sheetName val="P.up &amp; delivery"/>
      <sheetName val="معتز "/>
      <sheetName val="حمد"/>
      <sheetName val="حبيبه"/>
      <sheetName val="شهد"/>
      <sheetName val="ملك"/>
      <sheetName val="سامية"/>
      <sheetName val="هناء "/>
      <sheetName val="مني"/>
      <sheetName val="ايمان"/>
      <sheetName val="رؤي"/>
      <sheetName val="رضوي"/>
      <sheetName val="روان"/>
      <sheetName val="كريم جينرال"/>
      <sheetName val="هبه "/>
      <sheetName val="سمر"/>
      <sheetName val="ماجد"/>
      <sheetName val="اجمال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6">
          <cell r="A46" t="str">
            <v>اجمالي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outlinePr summaryBelow="0" summaryRight="0"/>
    <pageSetUpPr fitToPage="1"/>
  </sheetPr>
  <dimension ref="A1:Z251"/>
  <sheetViews>
    <sheetView rightToLeft="1" tabSelected="1" topLeftCell="A28" zoomScale="160" zoomScaleNormal="160" workbookViewId="0">
      <selection activeCell="H9" sqref="H9"/>
    </sheetView>
  </sheetViews>
  <sheetFormatPr defaultColWidth="12.609375" defaultRowHeight="12.3" x14ac:dyDescent="0.4"/>
  <cols>
    <col min="1" max="1" width="12.5" customWidth="1"/>
    <col min="2" max="2" width="14.6640625" bestFit="1" customWidth="1"/>
    <col min="3" max="10" width="12.5" customWidth="1"/>
    <col min="11" max="11" width="16.5" customWidth="1"/>
    <col min="12" max="12" width="12.5" customWidth="1"/>
  </cols>
  <sheetData>
    <row r="1" spans="1:13" ht="25.2" x14ac:dyDescent="0.85">
      <c r="A1" s="66" t="s">
        <v>63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8"/>
    </row>
    <row r="2" spans="1:13" ht="25.2" x14ac:dyDescent="0.85">
      <c r="A2" s="69" t="s">
        <v>55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3" ht="17.7" x14ac:dyDescent="0.5">
      <c r="A3" s="4"/>
      <c r="B3" s="4"/>
      <c r="C3" s="4"/>
      <c r="D3" s="4"/>
      <c r="E3" s="4"/>
      <c r="F3" s="94"/>
      <c r="G3" s="4"/>
      <c r="H3" s="4"/>
      <c r="I3" s="71" t="s">
        <v>50</v>
      </c>
      <c r="J3" s="70"/>
      <c r="K3" s="70"/>
      <c r="L3" s="70"/>
    </row>
    <row r="4" spans="1:13" ht="14.1" x14ac:dyDescent="0.5">
      <c r="A4" s="5"/>
      <c r="B4" s="37" t="s">
        <v>0</v>
      </c>
      <c r="C4" s="6">
        <v>26</v>
      </c>
      <c r="D4" s="38" t="s">
        <v>1</v>
      </c>
      <c r="E4" s="39">
        <v>8.6666666666666661</v>
      </c>
      <c r="F4" s="95"/>
      <c r="G4" s="38" t="s">
        <v>2</v>
      </c>
      <c r="H4" s="41">
        <v>4</v>
      </c>
      <c r="I4" s="40"/>
      <c r="J4" s="40"/>
      <c r="K4" s="40"/>
      <c r="L4" s="1"/>
    </row>
    <row r="5" spans="1:13" ht="14.1" x14ac:dyDescent="0.5">
      <c r="A5" s="5"/>
      <c r="B5" s="42"/>
      <c r="C5" s="8"/>
      <c r="D5" s="38" t="s">
        <v>3</v>
      </c>
      <c r="E5" s="39">
        <v>8.6062499999999993</v>
      </c>
      <c r="F5" s="40"/>
      <c r="G5" s="38" t="s">
        <v>4</v>
      </c>
      <c r="H5" s="41">
        <v>0</v>
      </c>
      <c r="I5" s="40"/>
      <c r="J5" s="43" t="s">
        <v>5</v>
      </c>
      <c r="K5" s="44">
        <v>0.99</v>
      </c>
      <c r="L5" s="1"/>
    </row>
    <row r="6" spans="1:13" ht="14.1" x14ac:dyDescent="0.5">
      <c r="A6" s="5"/>
      <c r="B6" s="45" t="s">
        <v>6</v>
      </c>
      <c r="C6" s="46"/>
      <c r="D6" s="58">
        <v>6.0416666666666667E-2</v>
      </c>
      <c r="E6" s="47"/>
      <c r="F6" s="40"/>
      <c r="G6" s="38" t="s">
        <v>8</v>
      </c>
      <c r="H6" s="41">
        <v>1</v>
      </c>
      <c r="I6" s="40"/>
      <c r="J6" s="43" t="s">
        <v>9</v>
      </c>
      <c r="K6" s="44">
        <v>1</v>
      </c>
      <c r="L6" s="1"/>
    </row>
    <row r="7" spans="1:13" ht="14.1" x14ac:dyDescent="0.5">
      <c r="A7" s="5"/>
      <c r="B7" s="37" t="s">
        <v>10</v>
      </c>
      <c r="C7" s="37">
        <v>0</v>
      </c>
      <c r="D7" s="38" t="s">
        <v>1</v>
      </c>
      <c r="E7" s="39">
        <v>0</v>
      </c>
      <c r="F7" s="40"/>
      <c r="G7" s="38" t="s">
        <v>11</v>
      </c>
      <c r="H7" s="41">
        <v>1</v>
      </c>
      <c r="I7" s="40"/>
      <c r="J7" s="43" t="s">
        <v>12</v>
      </c>
      <c r="K7" s="44">
        <v>0.98</v>
      </c>
      <c r="L7" s="1"/>
    </row>
    <row r="8" spans="1:13" ht="14.1" x14ac:dyDescent="0.5">
      <c r="A8" s="5"/>
      <c r="B8" s="42"/>
      <c r="C8" s="42"/>
      <c r="D8" s="38" t="s">
        <v>3</v>
      </c>
      <c r="E8" s="39">
        <v>0</v>
      </c>
      <c r="F8" s="40"/>
      <c r="G8" s="38" t="s">
        <v>13</v>
      </c>
      <c r="H8" s="41">
        <v>1</v>
      </c>
      <c r="I8" s="40"/>
      <c r="J8" s="43" t="s">
        <v>14</v>
      </c>
      <c r="K8" s="44">
        <v>1</v>
      </c>
      <c r="L8" s="1"/>
    </row>
    <row r="9" spans="1:13" ht="15" x14ac:dyDescent="0.5">
      <c r="A9" s="5"/>
      <c r="B9" s="46" t="s">
        <v>6</v>
      </c>
      <c r="C9" s="46"/>
      <c r="D9" s="46" t="s">
        <v>7</v>
      </c>
      <c r="E9" s="47"/>
      <c r="F9" s="40"/>
      <c r="G9" s="46" t="s">
        <v>15</v>
      </c>
      <c r="H9" s="48" t="s">
        <v>54</v>
      </c>
      <c r="I9" s="40"/>
      <c r="J9" s="49" t="s">
        <v>16</v>
      </c>
      <c r="K9" s="50">
        <v>0.99250000000000005</v>
      </c>
      <c r="L9" s="1"/>
    </row>
    <row r="10" spans="1:13" ht="14.1" x14ac:dyDescent="0.4">
      <c r="A10" s="3"/>
      <c r="B10" s="9"/>
      <c r="C10" s="3"/>
      <c r="D10" s="3"/>
      <c r="E10" s="3"/>
      <c r="F10" s="3"/>
      <c r="G10" s="3"/>
      <c r="H10" s="2"/>
      <c r="I10" s="2"/>
      <c r="J10" s="2"/>
      <c r="K10" s="2"/>
      <c r="L10" s="3"/>
    </row>
    <row r="11" spans="1:13" ht="87.9" customHeight="1" x14ac:dyDescent="0.4">
      <c r="A11" s="3"/>
      <c r="B11" s="10" t="s">
        <v>17</v>
      </c>
      <c r="C11" s="90" t="s">
        <v>56</v>
      </c>
      <c r="D11" s="74"/>
      <c r="E11" s="74"/>
      <c r="F11" s="74"/>
      <c r="G11" s="74"/>
      <c r="H11" s="74"/>
      <c r="I11" s="74"/>
      <c r="J11" s="74"/>
      <c r="K11" s="72"/>
      <c r="L11" s="3"/>
    </row>
    <row r="12" spans="1:13" ht="31.5" customHeight="1" x14ac:dyDescent="0.4">
      <c r="A12" s="3"/>
      <c r="B12" s="10" t="s">
        <v>18</v>
      </c>
      <c r="C12" s="73"/>
      <c r="D12" s="74"/>
      <c r="E12" s="74"/>
      <c r="F12" s="74"/>
      <c r="G12" s="74"/>
      <c r="H12" s="74"/>
      <c r="I12" s="74"/>
      <c r="J12" s="74"/>
      <c r="K12" s="72"/>
      <c r="L12" s="3"/>
    </row>
    <row r="13" spans="1:13" ht="31.5" customHeight="1" x14ac:dyDescent="0.4">
      <c r="A13" s="3"/>
      <c r="B13" s="10" t="s">
        <v>19</v>
      </c>
      <c r="C13" s="73"/>
      <c r="D13" s="74"/>
      <c r="E13" s="74"/>
      <c r="F13" s="74"/>
      <c r="G13" s="74"/>
      <c r="H13" s="74"/>
      <c r="I13" s="74"/>
      <c r="J13" s="74"/>
      <c r="K13" s="72"/>
      <c r="L13" s="3"/>
      <c r="M13" s="11"/>
    </row>
    <row r="14" spans="1:13" ht="14.1" x14ac:dyDescent="0.4">
      <c r="A14" s="3"/>
      <c r="B14" s="3"/>
      <c r="C14" s="3"/>
      <c r="D14" s="3"/>
      <c r="E14" s="3"/>
      <c r="F14" s="3"/>
      <c r="G14" s="3"/>
      <c r="H14" s="12"/>
      <c r="I14" s="12"/>
      <c r="J14" s="12"/>
      <c r="K14" s="12"/>
      <c r="L14" s="3"/>
    </row>
    <row r="15" spans="1:13" ht="13.8" x14ac:dyDescent="0.4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3" ht="22.5" x14ac:dyDescent="0.4">
      <c r="A16" s="14"/>
      <c r="B16" s="14"/>
      <c r="C16" s="75" t="s">
        <v>20</v>
      </c>
      <c r="D16" s="67"/>
      <c r="E16" s="67"/>
      <c r="F16" s="67"/>
      <c r="G16" s="67"/>
      <c r="H16" s="67"/>
      <c r="I16" s="67"/>
      <c r="J16" s="68"/>
      <c r="K16" s="14"/>
      <c r="L16" s="14"/>
    </row>
    <row r="17" spans="1:12" ht="13.8" x14ac:dyDescent="0.4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ht="13.8" x14ac:dyDescent="0.4">
      <c r="A18" s="15" t="s">
        <v>21</v>
      </c>
      <c r="B18" s="15" t="s">
        <v>22</v>
      </c>
      <c r="C18" s="15" t="s">
        <v>23</v>
      </c>
      <c r="D18" s="13"/>
      <c r="F18" s="15" t="s">
        <v>24</v>
      </c>
      <c r="G18" s="15" t="s">
        <v>25</v>
      </c>
      <c r="H18" s="15" t="s">
        <v>26</v>
      </c>
      <c r="I18" s="15" t="s">
        <v>27</v>
      </c>
      <c r="J18" s="15" t="s">
        <v>28</v>
      </c>
      <c r="K18" s="15" t="s">
        <v>29</v>
      </c>
      <c r="L18" s="15" t="s">
        <v>30</v>
      </c>
    </row>
    <row r="19" spans="1:12" ht="14.1" x14ac:dyDescent="0.4">
      <c r="A19" s="16" t="s">
        <v>57</v>
      </c>
      <c r="B19" s="17" t="s">
        <v>58</v>
      </c>
      <c r="C19" s="15" t="s">
        <v>31</v>
      </c>
      <c r="D19" s="13"/>
      <c r="F19" s="18">
        <v>2024</v>
      </c>
      <c r="G19" s="7"/>
      <c r="H19" s="7"/>
      <c r="I19" s="7"/>
      <c r="J19" s="7"/>
      <c r="K19" s="7"/>
      <c r="L19" s="19"/>
    </row>
    <row r="20" spans="1:12" ht="14.1" x14ac:dyDescent="0.4">
      <c r="A20" s="21"/>
      <c r="B20" s="21"/>
      <c r="C20" s="13"/>
      <c r="D20" s="13"/>
      <c r="F20" s="18" t="s">
        <v>32</v>
      </c>
      <c r="G20" s="7"/>
      <c r="H20" s="7"/>
      <c r="I20" s="20"/>
      <c r="J20" s="7"/>
      <c r="K20" s="7"/>
      <c r="L20" s="19"/>
    </row>
    <row r="21" spans="1:12" ht="14.1" x14ac:dyDescent="0.4">
      <c r="A21" s="21"/>
      <c r="B21" s="21"/>
      <c r="C21" s="13"/>
      <c r="D21" s="13"/>
      <c r="F21" s="22">
        <v>46023</v>
      </c>
      <c r="G21" s="7"/>
      <c r="H21" s="7"/>
      <c r="I21" s="7"/>
      <c r="K21" s="7"/>
      <c r="L21" s="19"/>
    </row>
    <row r="22" spans="1:12" ht="14.1" x14ac:dyDescent="0.4">
      <c r="A22" s="21"/>
      <c r="B22" s="21"/>
      <c r="C22" s="13"/>
      <c r="D22" s="13"/>
      <c r="F22" s="22">
        <v>46054</v>
      </c>
      <c r="G22" s="7"/>
      <c r="H22" s="7"/>
      <c r="I22" s="7"/>
      <c r="J22" s="7" t="s">
        <v>59</v>
      </c>
      <c r="K22" s="7"/>
      <c r="L22" s="19">
        <v>0.96930000000000005</v>
      </c>
    </row>
    <row r="23" spans="1:12" ht="14.1" x14ac:dyDescent="0.4">
      <c r="A23" s="21"/>
      <c r="B23" s="21"/>
      <c r="C23" s="13"/>
      <c r="D23" s="13"/>
      <c r="F23" s="22">
        <v>46082</v>
      </c>
      <c r="G23" s="7"/>
      <c r="H23" s="7"/>
      <c r="I23" s="7"/>
      <c r="J23" s="7" t="s">
        <v>60</v>
      </c>
      <c r="K23" s="7"/>
      <c r="L23" s="19">
        <v>0.96930000000000005</v>
      </c>
    </row>
    <row r="24" spans="1:12" ht="14.1" x14ac:dyDescent="0.4">
      <c r="A24" s="21"/>
      <c r="B24" s="21"/>
      <c r="C24" s="13"/>
      <c r="D24" s="13"/>
      <c r="F24" s="22">
        <v>46113</v>
      </c>
      <c r="G24" s="7"/>
      <c r="H24" s="7"/>
      <c r="I24" s="7" t="s">
        <v>60</v>
      </c>
      <c r="J24" s="7" t="s">
        <v>61</v>
      </c>
      <c r="K24" s="7"/>
      <c r="L24" s="19">
        <v>0.96930000000000005</v>
      </c>
    </row>
    <row r="25" spans="1:12" ht="14.1" x14ac:dyDescent="0.4">
      <c r="A25" s="21"/>
      <c r="B25" s="21"/>
      <c r="C25" s="13"/>
      <c r="D25" s="13"/>
      <c r="F25" s="22">
        <v>46143</v>
      </c>
      <c r="G25" s="7"/>
      <c r="H25" s="7"/>
      <c r="I25" s="7"/>
      <c r="J25" s="7" t="s">
        <v>62</v>
      </c>
      <c r="K25" s="7"/>
      <c r="L25" s="19">
        <v>0.98919999999999997</v>
      </c>
    </row>
    <row r="26" spans="1:12" ht="14.1" x14ac:dyDescent="0.4">
      <c r="A26" s="21"/>
      <c r="B26" s="21"/>
      <c r="C26" s="13"/>
      <c r="D26" s="13"/>
      <c r="F26" s="22">
        <v>46174</v>
      </c>
      <c r="G26" s="7"/>
      <c r="H26" s="7"/>
      <c r="I26" s="7"/>
      <c r="J26" s="7"/>
      <c r="K26" s="7"/>
      <c r="L26" s="19"/>
    </row>
    <row r="27" spans="1:12" ht="14.1" x14ac:dyDescent="0.4">
      <c r="A27" s="21"/>
      <c r="B27" s="21"/>
      <c r="C27" s="13"/>
      <c r="D27" s="13"/>
      <c r="F27" s="22">
        <v>46204</v>
      </c>
      <c r="G27" s="7"/>
      <c r="H27" s="7"/>
      <c r="I27" s="7"/>
      <c r="J27" s="7"/>
      <c r="K27" s="7"/>
      <c r="L27" s="23"/>
    </row>
    <row r="28" spans="1:12" ht="14.1" x14ac:dyDescent="0.4">
      <c r="A28" s="21"/>
      <c r="B28" s="21"/>
      <c r="C28" s="13"/>
      <c r="D28" s="13"/>
      <c r="F28" s="22">
        <v>46235</v>
      </c>
      <c r="G28" s="7"/>
      <c r="H28" s="7"/>
      <c r="I28" s="7"/>
      <c r="J28" s="7"/>
      <c r="K28" s="7"/>
      <c r="L28" s="19"/>
    </row>
    <row r="29" spans="1:12" ht="14.1" x14ac:dyDescent="0.4">
      <c r="A29" s="21"/>
      <c r="B29" s="21"/>
      <c r="C29" s="13"/>
      <c r="D29" s="13"/>
      <c r="F29" s="22">
        <v>46266</v>
      </c>
      <c r="G29" s="7"/>
      <c r="H29" s="7"/>
      <c r="I29" s="7"/>
      <c r="J29" s="7"/>
      <c r="K29" s="7"/>
      <c r="L29" s="19"/>
    </row>
    <row r="30" spans="1:12" ht="14.1" x14ac:dyDescent="0.4">
      <c r="A30" s="21"/>
      <c r="B30" s="21"/>
      <c r="C30" s="13"/>
      <c r="D30" s="13"/>
      <c r="F30" s="22">
        <v>46296</v>
      </c>
      <c r="G30" s="7"/>
      <c r="H30" s="7"/>
      <c r="I30" s="7"/>
      <c r="J30" s="7"/>
      <c r="K30" s="7"/>
      <c r="L30" s="19"/>
    </row>
    <row r="31" spans="1:12" ht="14.1" x14ac:dyDescent="0.4">
      <c r="A31" s="21"/>
      <c r="B31" s="21"/>
      <c r="C31" s="13"/>
      <c r="D31" s="13"/>
      <c r="F31" s="22">
        <v>46327</v>
      </c>
      <c r="G31" s="7"/>
      <c r="H31" s="7"/>
      <c r="I31" s="7"/>
      <c r="J31" s="7"/>
      <c r="K31" s="7"/>
      <c r="L31" s="19"/>
    </row>
    <row r="32" spans="1:12" ht="14.1" x14ac:dyDescent="0.4">
      <c r="A32" s="21"/>
      <c r="B32" s="21"/>
      <c r="C32" s="13"/>
      <c r="D32" s="13"/>
      <c r="F32" s="22">
        <v>46357</v>
      </c>
      <c r="G32" s="7"/>
      <c r="H32" s="7"/>
      <c r="I32" s="7"/>
      <c r="J32" s="7"/>
      <c r="K32" s="7"/>
      <c r="L32" s="19"/>
    </row>
    <row r="33" spans="1:26" ht="14.1" x14ac:dyDescent="0.4">
      <c r="A33" s="21"/>
      <c r="B33" s="21"/>
      <c r="C33" s="13"/>
      <c r="D33" s="13"/>
      <c r="F33" s="24" t="s">
        <v>33</v>
      </c>
      <c r="G33" s="25"/>
      <c r="H33" s="25"/>
      <c r="I33" s="25"/>
      <c r="J33" s="26"/>
      <c r="K33" s="25"/>
      <c r="L33" s="19">
        <f>AVERAGE(L21:L32)</f>
        <v>0.974275</v>
      </c>
    </row>
    <row r="34" spans="1:26" ht="19.8" x14ac:dyDescent="0.4">
      <c r="A34" s="27"/>
      <c r="B34" s="27"/>
      <c r="C34" s="28"/>
      <c r="D34" s="29"/>
      <c r="E34" s="30"/>
      <c r="F34" s="31"/>
      <c r="G34" s="32"/>
      <c r="H34" s="32"/>
      <c r="I34" s="32"/>
      <c r="J34" s="32"/>
      <c r="K34" s="32"/>
      <c r="L34" s="29"/>
    </row>
    <row r="35" spans="1:26" x14ac:dyDescent="0.4">
      <c r="A35" s="29"/>
      <c r="B35" s="33"/>
      <c r="C35" s="76" t="s">
        <v>34</v>
      </c>
      <c r="D35" s="34"/>
      <c r="E35" s="10"/>
      <c r="F35" s="78"/>
      <c r="G35" s="76" t="s">
        <v>35</v>
      </c>
      <c r="H35" s="34"/>
      <c r="I35" s="10"/>
      <c r="J35" s="1"/>
      <c r="K35" s="33"/>
      <c r="L35" s="29"/>
    </row>
    <row r="36" spans="1:26" x14ac:dyDescent="0.4">
      <c r="A36" s="29"/>
      <c r="B36" s="33"/>
      <c r="C36" s="77"/>
      <c r="D36" s="34"/>
      <c r="E36" s="10"/>
      <c r="F36" s="70"/>
      <c r="G36" s="77"/>
      <c r="H36" s="34"/>
      <c r="I36" s="10"/>
      <c r="J36" s="33"/>
      <c r="K36" s="33"/>
      <c r="L36" s="29"/>
    </row>
    <row r="37" spans="1:26" x14ac:dyDescent="0.4">
      <c r="A37" s="29"/>
      <c r="B37" s="29"/>
      <c r="C37" s="29"/>
      <c r="D37" s="29"/>
      <c r="E37" s="29"/>
      <c r="F37" s="29"/>
      <c r="G37" s="29"/>
      <c r="H37" s="35"/>
      <c r="I37" s="29"/>
      <c r="J37" s="29"/>
      <c r="K37" s="29"/>
      <c r="L37" s="29"/>
    </row>
    <row r="38" spans="1:26" x14ac:dyDescent="0.4">
      <c r="A38" s="51" t="s">
        <v>36</v>
      </c>
      <c r="B38" s="51" t="s">
        <v>40</v>
      </c>
      <c r="C38" s="51" t="s">
        <v>41</v>
      </c>
      <c r="D38" s="51" t="s">
        <v>42</v>
      </c>
      <c r="E38" s="51" t="s">
        <v>43</v>
      </c>
      <c r="F38" s="52" t="s">
        <v>44</v>
      </c>
      <c r="G38" s="53" t="s">
        <v>11</v>
      </c>
      <c r="H38" s="53" t="s">
        <v>13</v>
      </c>
      <c r="I38" s="54" t="s">
        <v>45</v>
      </c>
      <c r="J38" s="10" t="s">
        <v>46</v>
      </c>
      <c r="K38" s="87" t="s">
        <v>37</v>
      </c>
      <c r="L38" s="72"/>
    </row>
    <row r="39" spans="1:26" ht="34.200000000000003" x14ac:dyDescent="0.4">
      <c r="A39" s="52" t="s">
        <v>1</v>
      </c>
      <c r="B39" s="88">
        <v>5000</v>
      </c>
      <c r="C39" s="55">
        <v>20</v>
      </c>
      <c r="D39" s="55">
        <f>B39/30*C39</f>
        <v>3333.333333333333</v>
      </c>
      <c r="E39" s="62">
        <f>B39/30*H6</f>
        <v>166.66666666666666</v>
      </c>
      <c r="F39" s="62" t="s">
        <v>66</v>
      </c>
      <c r="G39" s="57">
        <f>B39/30*H7</f>
        <v>166.66666666666666</v>
      </c>
      <c r="H39" s="57">
        <f>+B39/30*H8</f>
        <v>166.66666666666666</v>
      </c>
      <c r="I39" s="97" t="s">
        <v>64</v>
      </c>
      <c r="J39" s="56">
        <f t="shared" ref="J39:J41" si="0">SUM(D39:F39)-SUM(G39:I39)</f>
        <v>3166.6666666666661</v>
      </c>
      <c r="K39" s="87"/>
      <c r="L39" s="72"/>
    </row>
    <row r="40" spans="1:26" ht="34.200000000000003" x14ac:dyDescent="0.4">
      <c r="A40" s="52" t="s">
        <v>47</v>
      </c>
      <c r="B40" s="89"/>
      <c r="C40" s="51">
        <v>10</v>
      </c>
      <c r="D40" s="55">
        <f>B39/30/2*C40</f>
        <v>833.33333333333326</v>
      </c>
      <c r="E40" s="62"/>
      <c r="F40" s="62"/>
      <c r="G40" s="57"/>
      <c r="H40" s="57"/>
      <c r="I40" s="97" t="s">
        <v>65</v>
      </c>
      <c r="J40" s="56">
        <f t="shared" si="0"/>
        <v>833.33333333333326</v>
      </c>
      <c r="K40" s="87"/>
      <c r="L40" s="72"/>
    </row>
    <row r="41" spans="1:26" x14ac:dyDescent="0.4">
      <c r="A41" s="52" t="s">
        <v>48</v>
      </c>
      <c r="B41" s="77"/>
      <c r="C41" s="51"/>
      <c r="D41" s="55">
        <f>B39/30*C41</f>
        <v>0</v>
      </c>
      <c r="E41" s="62"/>
      <c r="F41" s="62"/>
      <c r="G41" s="57"/>
      <c r="H41" s="57"/>
      <c r="I41" s="57"/>
      <c r="J41" s="56">
        <f t="shared" si="0"/>
        <v>0</v>
      </c>
      <c r="K41" s="87"/>
      <c r="L41" s="72"/>
    </row>
    <row r="42" spans="1:26" ht="12" customHeight="1" x14ac:dyDescent="0.4">
      <c r="A42" s="91" t="str">
        <f>[1]ماجد!$A$46</f>
        <v>اجمالي</v>
      </c>
      <c r="B42" s="92"/>
      <c r="C42" s="92"/>
      <c r="D42" s="92"/>
      <c r="E42" s="92"/>
      <c r="F42" s="92"/>
      <c r="G42" s="92"/>
      <c r="H42" s="92"/>
      <c r="I42" s="93"/>
      <c r="J42" s="98">
        <f>SUM(J39:J41)</f>
        <v>3999.9999999999991</v>
      </c>
      <c r="K42" s="74"/>
      <c r="L42" s="99"/>
      <c r="M42" s="61"/>
      <c r="N42" s="59"/>
      <c r="O42" s="59"/>
      <c r="P42" s="59"/>
      <c r="Q42" s="59"/>
      <c r="R42" s="59"/>
      <c r="S42" s="59"/>
      <c r="T42" s="59"/>
      <c r="U42" s="59"/>
      <c r="V42" s="63"/>
      <c r="W42" s="59"/>
      <c r="X42" s="59"/>
      <c r="Y42" s="60"/>
      <c r="Z42" s="60"/>
    </row>
    <row r="43" spans="1:26" ht="12" customHeight="1" x14ac:dyDescent="0.4">
      <c r="A43" s="100" t="s">
        <v>51</v>
      </c>
      <c r="B43" s="74"/>
      <c r="C43" s="74"/>
      <c r="D43" s="74"/>
      <c r="E43" s="74"/>
      <c r="F43" s="74"/>
      <c r="G43" s="74"/>
      <c r="H43" s="74"/>
      <c r="I43" s="99"/>
      <c r="J43" s="98" t="s">
        <v>67</v>
      </c>
      <c r="K43" s="74"/>
      <c r="L43" s="9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60"/>
      <c r="Z43" s="60"/>
    </row>
    <row r="44" spans="1:26" ht="12" customHeight="1" x14ac:dyDescent="0.4">
      <c r="A44" s="100" t="s">
        <v>52</v>
      </c>
      <c r="B44" s="74"/>
      <c r="C44" s="74"/>
      <c r="D44" s="74"/>
      <c r="E44" s="74"/>
      <c r="F44" s="74"/>
      <c r="G44" s="74"/>
      <c r="H44" s="74"/>
      <c r="I44" s="99"/>
      <c r="J44" s="98" t="s">
        <v>67</v>
      </c>
      <c r="K44" s="74"/>
      <c r="L44" s="99"/>
      <c r="M44" s="64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60"/>
      <c r="Z44" s="60"/>
    </row>
    <row r="45" spans="1:26" ht="12" customHeight="1" x14ac:dyDescent="0.4">
      <c r="A45" s="100" t="s">
        <v>53</v>
      </c>
      <c r="B45" s="74"/>
      <c r="C45" s="74"/>
      <c r="D45" s="74"/>
      <c r="E45" s="74"/>
      <c r="F45" s="74"/>
      <c r="G45" s="74"/>
      <c r="H45" s="74"/>
      <c r="I45" s="99"/>
      <c r="J45" s="98" t="s">
        <v>67</v>
      </c>
      <c r="K45" s="74"/>
      <c r="L45" s="99"/>
      <c r="M45" s="64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60"/>
      <c r="Z45" s="60"/>
    </row>
    <row r="46" spans="1:26" ht="12" customHeight="1" x14ac:dyDescent="0.5">
      <c r="A46" s="101" t="s">
        <v>49</v>
      </c>
      <c r="B46" s="74"/>
      <c r="C46" s="74"/>
      <c r="D46" s="74"/>
      <c r="E46" s="74"/>
      <c r="F46" s="74"/>
      <c r="G46" s="74"/>
      <c r="H46" s="74"/>
      <c r="I46" s="99"/>
      <c r="J46" s="102">
        <v>100</v>
      </c>
      <c r="K46" s="74"/>
      <c r="L46" s="99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1"/>
      <c r="Z46" s="61"/>
    </row>
    <row r="47" spans="1:26" ht="12" customHeight="1" x14ac:dyDescent="0.5">
      <c r="A47" s="101" t="s">
        <v>49</v>
      </c>
      <c r="B47" s="74"/>
      <c r="C47" s="74"/>
      <c r="D47" s="74"/>
      <c r="E47" s="74"/>
      <c r="F47" s="74"/>
      <c r="G47" s="74"/>
      <c r="H47" s="74"/>
      <c r="I47" s="99"/>
      <c r="J47" s="102">
        <v>67</v>
      </c>
      <c r="K47" s="74"/>
      <c r="L47" s="99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1"/>
      <c r="Z47" s="61"/>
    </row>
    <row r="48" spans="1:26" ht="12" customHeight="1" x14ac:dyDescent="0.5">
      <c r="A48" s="101" t="s">
        <v>49</v>
      </c>
      <c r="B48" s="74"/>
      <c r="C48" s="74"/>
      <c r="D48" s="74"/>
      <c r="E48" s="74"/>
      <c r="F48" s="74"/>
      <c r="G48" s="74"/>
      <c r="H48" s="74"/>
      <c r="I48" s="99"/>
      <c r="J48" s="102">
        <v>1000</v>
      </c>
      <c r="K48" s="74"/>
      <c r="L48" s="99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1"/>
      <c r="Z48" s="61"/>
    </row>
    <row r="49" spans="1:26" ht="12" customHeight="1" x14ac:dyDescent="0.5">
      <c r="A49" s="101" t="s">
        <v>49</v>
      </c>
      <c r="B49" s="74"/>
      <c r="C49" s="74"/>
      <c r="D49" s="74"/>
      <c r="E49" s="74"/>
      <c r="F49" s="74"/>
      <c r="G49" s="74"/>
      <c r="H49" s="74"/>
      <c r="I49" s="99"/>
      <c r="J49" s="102">
        <v>25</v>
      </c>
      <c r="K49" s="74"/>
      <c r="L49" s="99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1"/>
      <c r="Z49" s="61"/>
    </row>
    <row r="50" spans="1:26" ht="12" customHeight="1" x14ac:dyDescent="0.4">
      <c r="A50" s="103" t="s">
        <v>38</v>
      </c>
      <c r="B50" s="74"/>
      <c r="C50" s="74"/>
      <c r="D50" s="74"/>
      <c r="E50" s="74"/>
      <c r="F50" s="74"/>
      <c r="G50" s="74"/>
      <c r="H50" s="74"/>
      <c r="I50" s="99"/>
      <c r="J50" s="104">
        <f>SUM(J42:L45)-SUM(J46:L49)</f>
        <v>2807.9999999999991</v>
      </c>
      <c r="K50" s="74"/>
      <c r="L50" s="99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1:26" ht="17.7" x14ac:dyDescent="0.5">
      <c r="A52" s="4"/>
      <c r="B52" s="36" t="s">
        <v>39</v>
      </c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26" ht="14.1" x14ac:dyDescent="0.5">
      <c r="A53" s="4"/>
      <c r="B53" s="79"/>
      <c r="C53" s="80"/>
      <c r="D53" s="80"/>
      <c r="E53" s="80"/>
      <c r="F53" s="80"/>
      <c r="G53" s="80"/>
      <c r="H53" s="80"/>
      <c r="I53" s="80"/>
      <c r="J53" s="81"/>
      <c r="K53" s="4"/>
      <c r="L53" s="4"/>
    </row>
    <row r="54" spans="1:26" x14ac:dyDescent="0.4">
      <c r="A54" s="33"/>
      <c r="B54" s="82"/>
      <c r="C54" s="70"/>
      <c r="D54" s="70"/>
      <c r="E54" s="70"/>
      <c r="F54" s="70"/>
      <c r="G54" s="70"/>
      <c r="H54" s="70"/>
      <c r="I54" s="70"/>
      <c r="J54" s="83"/>
      <c r="K54" s="33"/>
      <c r="L54" s="33"/>
    </row>
    <row r="55" spans="1:26" x14ac:dyDescent="0.4">
      <c r="A55" s="33"/>
      <c r="B55" s="82"/>
      <c r="C55" s="70"/>
      <c r="D55" s="70"/>
      <c r="E55" s="70"/>
      <c r="F55" s="70"/>
      <c r="G55" s="70"/>
      <c r="H55" s="70"/>
      <c r="I55" s="70"/>
      <c r="J55" s="83"/>
      <c r="K55" s="33"/>
      <c r="L55" s="33"/>
    </row>
    <row r="56" spans="1:26" x14ac:dyDescent="0.4">
      <c r="A56" s="33"/>
      <c r="B56" s="82"/>
      <c r="C56" s="70"/>
      <c r="D56" s="70"/>
      <c r="E56" s="70"/>
      <c r="F56" s="70"/>
      <c r="G56" s="70"/>
      <c r="H56" s="70"/>
      <c r="I56" s="70"/>
      <c r="J56" s="83"/>
      <c r="K56" s="33"/>
      <c r="L56" s="33"/>
    </row>
    <row r="57" spans="1:26" x14ac:dyDescent="0.4">
      <c r="A57" s="33"/>
      <c r="B57" s="84"/>
      <c r="C57" s="85"/>
      <c r="D57" s="85"/>
      <c r="E57" s="85"/>
      <c r="F57" s="85"/>
      <c r="G57" s="85"/>
      <c r="H57" s="85"/>
      <c r="I57" s="85"/>
      <c r="J57" s="86"/>
      <c r="K57" s="33"/>
      <c r="L57" s="33"/>
    </row>
    <row r="58" spans="1:26" x14ac:dyDescent="0.4">
      <c r="A58" s="33"/>
      <c r="B58" s="33"/>
      <c r="C58" s="33"/>
      <c r="D58" s="33"/>
      <c r="E58" s="33"/>
      <c r="F58" s="33"/>
      <c r="G58" s="33"/>
      <c r="H58" s="33"/>
      <c r="I58" s="96"/>
      <c r="J58" s="33"/>
      <c r="K58" s="33"/>
      <c r="L58" s="33"/>
    </row>
    <row r="59" spans="1:26" x14ac:dyDescent="0.4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26" x14ac:dyDescent="0.4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26" x14ac:dyDescent="0.4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26" x14ac:dyDescent="0.4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26" x14ac:dyDescent="0.4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26" x14ac:dyDescent="0.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x14ac:dyDescent="0.4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x14ac:dyDescent="0.4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x14ac:dyDescent="0.4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x14ac:dyDescent="0.4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x14ac:dyDescent="0.4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x14ac:dyDescent="0.4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x14ac:dyDescent="0.4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x14ac:dyDescent="0.4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x14ac:dyDescent="0.4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x14ac:dyDescent="0.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x14ac:dyDescent="0.4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x14ac:dyDescent="0.4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x14ac:dyDescent="0.4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x14ac:dyDescent="0.4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x14ac:dyDescent="0.4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x14ac:dyDescent="0.4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x14ac:dyDescent="0.4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x14ac:dyDescent="0.4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x14ac:dyDescent="0.4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x14ac:dyDescent="0.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x14ac:dyDescent="0.4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4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spans="1:12" x14ac:dyDescent="0.4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</row>
    <row r="88" spans="1:12" x14ac:dyDescent="0.4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</row>
    <row r="89" spans="1:12" x14ac:dyDescent="0.4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</row>
    <row r="90" spans="1:12" x14ac:dyDescent="0.4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</row>
    <row r="91" spans="1:12" x14ac:dyDescent="0.4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</row>
    <row r="92" spans="1:12" x14ac:dyDescent="0.4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spans="1:12" x14ac:dyDescent="0.4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</row>
    <row r="94" spans="1:12" x14ac:dyDescent="0.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spans="1:12" x14ac:dyDescent="0.4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</row>
    <row r="96" spans="1:12" x14ac:dyDescent="0.4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</row>
    <row r="97" spans="1:12" x14ac:dyDescent="0.4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</row>
    <row r="98" spans="1:12" x14ac:dyDescent="0.4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spans="1:12" x14ac:dyDescent="0.4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</row>
    <row r="100" spans="1:12" x14ac:dyDescent="0.4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 spans="1:12" x14ac:dyDescent="0.4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</row>
    <row r="102" spans="1:12" x14ac:dyDescent="0.4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 spans="1:12" x14ac:dyDescent="0.4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</row>
    <row r="104" spans="1:12" x14ac:dyDescent="0.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  <row r="105" spans="1:12" x14ac:dyDescent="0.4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 spans="1:12" x14ac:dyDescent="0.4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 spans="1:12" x14ac:dyDescent="0.4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 spans="1:12" x14ac:dyDescent="0.4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 spans="1:12" x14ac:dyDescent="0.4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</row>
    <row r="110" spans="1:12" x14ac:dyDescent="0.4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spans="1:12" x14ac:dyDescent="0.4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  <row r="112" spans="1:12" x14ac:dyDescent="0.4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</row>
    <row r="113" spans="1:12" x14ac:dyDescent="0.4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</row>
    <row r="114" spans="1:12" x14ac:dyDescent="0.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</row>
    <row r="115" spans="1:12" x14ac:dyDescent="0.4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</row>
    <row r="116" spans="1:12" x14ac:dyDescent="0.4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</row>
    <row r="117" spans="1:12" x14ac:dyDescent="0.4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</row>
    <row r="118" spans="1:12" x14ac:dyDescent="0.4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</row>
    <row r="119" spans="1:12" x14ac:dyDescent="0.4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</row>
    <row r="120" spans="1:12" x14ac:dyDescent="0.4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spans="1:12" x14ac:dyDescent="0.4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</row>
    <row r="122" spans="1:12" x14ac:dyDescent="0.4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spans="1:12" x14ac:dyDescent="0.4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</row>
    <row r="124" spans="1:12" x14ac:dyDescent="0.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spans="1:12" x14ac:dyDescent="0.4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</row>
    <row r="126" spans="1:12" x14ac:dyDescent="0.4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</row>
    <row r="127" spans="1:12" x14ac:dyDescent="0.4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</row>
    <row r="128" spans="1:12" x14ac:dyDescent="0.4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</row>
    <row r="129" spans="1:12" x14ac:dyDescent="0.4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</row>
    <row r="130" spans="1:12" x14ac:dyDescent="0.4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</row>
    <row r="131" spans="1:12" x14ac:dyDescent="0.4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</row>
    <row r="132" spans="1:12" x14ac:dyDescent="0.4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</row>
    <row r="133" spans="1:12" x14ac:dyDescent="0.4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</row>
    <row r="134" spans="1:12" x14ac:dyDescent="0.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</row>
    <row r="135" spans="1:12" x14ac:dyDescent="0.4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</row>
    <row r="136" spans="1:12" x14ac:dyDescent="0.4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</row>
    <row r="137" spans="1:12" x14ac:dyDescent="0.4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</row>
    <row r="138" spans="1:12" x14ac:dyDescent="0.4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</row>
    <row r="139" spans="1:12" x14ac:dyDescent="0.4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</row>
    <row r="140" spans="1:12" x14ac:dyDescent="0.4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</row>
    <row r="141" spans="1:12" x14ac:dyDescent="0.4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</row>
    <row r="142" spans="1:12" x14ac:dyDescent="0.4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</row>
    <row r="143" spans="1:12" x14ac:dyDescent="0.4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</row>
    <row r="144" spans="1:12" x14ac:dyDescent="0.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</row>
    <row r="145" spans="1:12" x14ac:dyDescent="0.4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</row>
    <row r="146" spans="1:12" x14ac:dyDescent="0.4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</row>
    <row r="147" spans="1:12" x14ac:dyDescent="0.4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</row>
    <row r="148" spans="1:12" x14ac:dyDescent="0.4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</row>
    <row r="149" spans="1:12" x14ac:dyDescent="0.4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</row>
    <row r="150" spans="1:12" x14ac:dyDescent="0.4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</row>
    <row r="151" spans="1:12" x14ac:dyDescent="0.4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</row>
    <row r="152" spans="1:12" x14ac:dyDescent="0.4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</row>
    <row r="153" spans="1:12" x14ac:dyDescent="0.4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</row>
    <row r="154" spans="1:12" x14ac:dyDescent="0.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</row>
    <row r="155" spans="1:12" x14ac:dyDescent="0.4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</row>
    <row r="156" spans="1:12" x14ac:dyDescent="0.4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</row>
    <row r="157" spans="1:12" x14ac:dyDescent="0.4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</row>
    <row r="158" spans="1:12" x14ac:dyDescent="0.4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</row>
    <row r="159" spans="1:12" x14ac:dyDescent="0.4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</row>
    <row r="160" spans="1:12" x14ac:dyDescent="0.4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</row>
    <row r="161" spans="1:12" x14ac:dyDescent="0.4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</row>
    <row r="162" spans="1:12" x14ac:dyDescent="0.4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</row>
    <row r="163" spans="1:12" x14ac:dyDescent="0.4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</row>
    <row r="164" spans="1:12" x14ac:dyDescent="0.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</row>
    <row r="165" spans="1:12" x14ac:dyDescent="0.4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</row>
    <row r="166" spans="1:12" x14ac:dyDescent="0.4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</row>
    <row r="167" spans="1:12" x14ac:dyDescent="0.4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</row>
    <row r="168" spans="1:12" x14ac:dyDescent="0.4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</row>
    <row r="169" spans="1:12" x14ac:dyDescent="0.4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</row>
    <row r="170" spans="1:12" x14ac:dyDescent="0.4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</row>
    <row r="171" spans="1:12" x14ac:dyDescent="0.4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</row>
    <row r="172" spans="1:12" x14ac:dyDescent="0.4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</row>
    <row r="173" spans="1:12" x14ac:dyDescent="0.4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</row>
    <row r="174" spans="1:12" x14ac:dyDescent="0.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</row>
    <row r="175" spans="1:12" x14ac:dyDescent="0.4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</row>
    <row r="176" spans="1:12" x14ac:dyDescent="0.4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</row>
    <row r="177" spans="1:12" x14ac:dyDescent="0.4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</row>
    <row r="178" spans="1:12" x14ac:dyDescent="0.4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</row>
    <row r="179" spans="1:12" x14ac:dyDescent="0.4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</row>
    <row r="180" spans="1:12" x14ac:dyDescent="0.4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</row>
    <row r="181" spans="1:12" x14ac:dyDescent="0.4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</row>
    <row r="182" spans="1:12" x14ac:dyDescent="0.4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</row>
    <row r="183" spans="1:12" x14ac:dyDescent="0.4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</row>
    <row r="184" spans="1:12" x14ac:dyDescent="0.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</row>
    <row r="185" spans="1:12" x14ac:dyDescent="0.4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</row>
    <row r="186" spans="1:12" x14ac:dyDescent="0.4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</row>
    <row r="187" spans="1:12" x14ac:dyDescent="0.4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</row>
    <row r="188" spans="1:12" x14ac:dyDescent="0.4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</row>
    <row r="189" spans="1:12" x14ac:dyDescent="0.4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</row>
    <row r="190" spans="1:12" x14ac:dyDescent="0.4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</row>
    <row r="191" spans="1:12" x14ac:dyDescent="0.4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</row>
    <row r="192" spans="1:12" x14ac:dyDescent="0.4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</row>
    <row r="193" spans="1:12" x14ac:dyDescent="0.4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</row>
    <row r="194" spans="1:12" x14ac:dyDescent="0.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</row>
    <row r="195" spans="1:12" x14ac:dyDescent="0.4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</row>
    <row r="196" spans="1:12" x14ac:dyDescent="0.4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</row>
    <row r="197" spans="1:12" x14ac:dyDescent="0.4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</row>
    <row r="198" spans="1:12" x14ac:dyDescent="0.4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</row>
    <row r="199" spans="1:12" x14ac:dyDescent="0.4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</row>
    <row r="200" spans="1:12" x14ac:dyDescent="0.4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</row>
    <row r="201" spans="1:12" x14ac:dyDescent="0.4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</row>
    <row r="202" spans="1:12" x14ac:dyDescent="0.4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</row>
    <row r="203" spans="1:12" x14ac:dyDescent="0.4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</row>
    <row r="204" spans="1:12" x14ac:dyDescent="0.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</row>
    <row r="205" spans="1:12" x14ac:dyDescent="0.4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</row>
    <row r="206" spans="1:12" x14ac:dyDescent="0.4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</row>
    <row r="207" spans="1:12" x14ac:dyDescent="0.4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</row>
    <row r="208" spans="1:12" x14ac:dyDescent="0.4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</row>
    <row r="209" spans="1:12" x14ac:dyDescent="0.4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</row>
    <row r="210" spans="1:12" x14ac:dyDescent="0.4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</row>
    <row r="211" spans="1:12" x14ac:dyDescent="0.4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</row>
    <row r="212" spans="1:12" x14ac:dyDescent="0.4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</row>
    <row r="213" spans="1:12" x14ac:dyDescent="0.4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</row>
    <row r="214" spans="1:12" x14ac:dyDescent="0.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</row>
    <row r="215" spans="1:12" x14ac:dyDescent="0.4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</row>
    <row r="216" spans="1:12" x14ac:dyDescent="0.4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</row>
    <row r="217" spans="1:12" x14ac:dyDescent="0.4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</row>
    <row r="218" spans="1:12" x14ac:dyDescent="0.4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</row>
    <row r="219" spans="1:12" x14ac:dyDescent="0.4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</row>
    <row r="220" spans="1:12" x14ac:dyDescent="0.4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</row>
    <row r="221" spans="1:12" x14ac:dyDescent="0.4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</row>
    <row r="222" spans="1:12" x14ac:dyDescent="0.4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</row>
    <row r="223" spans="1:12" x14ac:dyDescent="0.4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</row>
    <row r="224" spans="1:12" x14ac:dyDescent="0.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</row>
    <row r="225" spans="1:12" x14ac:dyDescent="0.4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</row>
    <row r="226" spans="1:12" x14ac:dyDescent="0.4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</row>
    <row r="227" spans="1:12" x14ac:dyDescent="0.4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</row>
    <row r="228" spans="1:12" x14ac:dyDescent="0.4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</row>
    <row r="229" spans="1:12" x14ac:dyDescent="0.4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</row>
    <row r="230" spans="1:12" x14ac:dyDescent="0.4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</row>
    <row r="231" spans="1:12" x14ac:dyDescent="0.4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</row>
    <row r="232" spans="1:12" x14ac:dyDescent="0.4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</row>
    <row r="233" spans="1:12" x14ac:dyDescent="0.4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</row>
    <row r="234" spans="1:12" x14ac:dyDescent="0.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</row>
    <row r="235" spans="1:12" x14ac:dyDescent="0.4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</row>
    <row r="236" spans="1:12" x14ac:dyDescent="0.4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</row>
    <row r="237" spans="1:12" x14ac:dyDescent="0.4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</row>
    <row r="238" spans="1:12" x14ac:dyDescent="0.4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</row>
    <row r="239" spans="1:12" x14ac:dyDescent="0.4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</row>
    <row r="240" spans="1:12" x14ac:dyDescent="0.4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</row>
    <row r="241" spans="1:12" x14ac:dyDescent="0.4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</row>
    <row r="242" spans="1:12" x14ac:dyDescent="0.4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</row>
    <row r="243" spans="1:12" x14ac:dyDescent="0.4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</row>
    <row r="244" spans="1:12" x14ac:dyDescent="0.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</row>
    <row r="245" spans="1:12" x14ac:dyDescent="0.4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</row>
    <row r="246" spans="1:12" x14ac:dyDescent="0.4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</row>
    <row r="247" spans="1:12" x14ac:dyDescent="0.4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</row>
    <row r="248" spans="1:12" x14ac:dyDescent="0.4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</row>
    <row r="249" spans="1:12" x14ac:dyDescent="0.4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</row>
    <row r="250" spans="1:12" x14ac:dyDescent="0.4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</row>
    <row r="251" spans="1:12" x14ac:dyDescent="0.4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</row>
  </sheetData>
  <mergeCells count="34">
    <mergeCell ref="A50:I50"/>
    <mergeCell ref="J50:L50"/>
    <mergeCell ref="A47:I47"/>
    <mergeCell ref="J47:L47"/>
    <mergeCell ref="A48:I48"/>
    <mergeCell ref="J48:L48"/>
    <mergeCell ref="A44:I44"/>
    <mergeCell ref="J44:L44"/>
    <mergeCell ref="A45:I45"/>
    <mergeCell ref="J45:L45"/>
    <mergeCell ref="A46:I46"/>
    <mergeCell ref="J46:L46"/>
    <mergeCell ref="A49:I49"/>
    <mergeCell ref="J49:L49"/>
    <mergeCell ref="B53:J57"/>
    <mergeCell ref="C13:K13"/>
    <mergeCell ref="C16:J16"/>
    <mergeCell ref="K41:L41"/>
    <mergeCell ref="C35:C36"/>
    <mergeCell ref="F35:F36"/>
    <mergeCell ref="G35:G36"/>
    <mergeCell ref="K38:L38"/>
    <mergeCell ref="B39:B41"/>
    <mergeCell ref="K39:L39"/>
    <mergeCell ref="K40:L40"/>
    <mergeCell ref="A42:I42"/>
    <mergeCell ref="J42:L42"/>
    <mergeCell ref="A43:I43"/>
    <mergeCell ref="J43:L43"/>
    <mergeCell ref="A1:L1"/>
    <mergeCell ref="A2:L2"/>
    <mergeCell ref="I3:L3"/>
    <mergeCell ref="C11:K11"/>
    <mergeCell ref="C12:K12"/>
  </mergeCells>
  <pageMargins left="0.25" right="0.25" top="0.75" bottom="0.75" header="0" footer="0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مني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 zakaria</dc:creator>
  <cp:lastModifiedBy>maged zakaria</cp:lastModifiedBy>
  <cp:lastPrinted>2026-07-23T09:40:05Z</cp:lastPrinted>
  <dcterms:created xsi:type="dcterms:W3CDTF">2024-10-05T11:40:54Z</dcterms:created>
  <dcterms:modified xsi:type="dcterms:W3CDTF">2026-07-30T16:51:56Z</dcterms:modified>
</cp:coreProperties>
</file>